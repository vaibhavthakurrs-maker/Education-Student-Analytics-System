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udent Dashboard" sheetId="2" state="visible" r:id="rId2"/>
    <sheet xmlns:r="http://schemas.openxmlformats.org/officeDocument/2006/relationships" name="Attendance Dashboard" sheetId="3" state="visible" r:id="rId3"/>
    <sheet xmlns:r="http://schemas.openxmlformats.org/officeDocument/2006/relationships" name="Faculty Dashboard" sheetId="4" state="visible" r:id="rId4"/>
    <sheet xmlns:r="http://schemas.openxmlformats.org/officeDocument/2006/relationships" name="Placement Dashboard" sheetId="5" state="visible" r:id="rId5"/>
    <sheet xmlns:r="http://schemas.openxmlformats.org/officeDocument/2006/relationships" name="Course Dashboard" sheetId="6" state="visible" r:id="rId6"/>
    <sheet xmlns:r="http://schemas.openxmlformats.org/officeDocument/2006/relationships" name="Students" sheetId="7" state="visible" r:id="rId7"/>
    <sheet xmlns:r="http://schemas.openxmlformats.org/officeDocument/2006/relationships" name="Attendance" sheetId="8" state="visible" r:id="rId8"/>
    <sheet xmlns:r="http://schemas.openxmlformats.org/officeDocument/2006/relationships" name="Faculty" sheetId="9" state="visible" r:id="rId9"/>
    <sheet xmlns:r="http://schemas.openxmlformats.org/officeDocument/2006/relationships" name="Placements" sheetId="10" state="visible" r:id="rId10"/>
    <sheet xmlns:r="http://schemas.openxmlformats.org/officeDocument/2006/relationships" name="Courses" sheetId="11" state="visible" r:id="rId11"/>
    <sheet xmlns:r="http://schemas.openxmlformats.org/officeDocument/2006/relationships" name="Instructions" sheetId="12" state="visible" r:id="rId12"/>
    <sheet xmlns:r="http://schemas.openxmlformats.org/officeDocument/2006/relationships" name="Lists" sheetId="13" state="visible" r:id="rId13"/>
    <sheet xmlns:r="http://schemas.openxmlformats.org/officeDocument/2006/relationships" name="Calc" sheetId="14" state="visible" r:id="rId14"/>
  </sheets>
  <definedNames>
    <definedName name="p_PassTotal">Lists!$N$4</definedName>
    <definedName name="p_PassExt">Lists!$N$5</definedName>
    <definedName name="p_SgpaDiv">Lists!$N$6</definedName>
    <definedName name="p_Distinction">Lists!$N$7</definedName>
    <definedName name="p_AttMin">Lists!$N$8</definedName>
    <definedName name="p_AttGood">Lists!$N$9</definedName>
    <definedName name="p_AttExc">Lists!$N$10</definedName>
    <definedName name="w_Fb">Lists!$N$11</definedName>
    <definedName name="w_Pass">Lists!$N$12</definedName>
    <definedName name="w_Res">Lists!$N$13</definedName>
    <definedName name="w_Exp">Lists!$N$14</definedName>
    <definedName name="p_ResCap">Lists!$N$15</definedName>
    <definedName name="p_ExpCap">Lists!$N$16</definedName>
    <definedName name="p_Rate1">Lists!$N$17</definedName>
    <definedName name="p_Rate2">Lists!$N$18</definedName>
    <definedName name="p_Rate3">Lists!$N$19</definedName>
    <definedName name="p_CoursePass">Lists!$N$20</definedName>
    <definedName name="fSt_B">'Student Dashboard'!$C$5</definedName>
    <definedName name="cSt_B">Calc!$C$4</definedName>
    <definedName name="fSt_S">'Student Dashboard'!$E$5</definedName>
    <definedName name="cSt_S">Calc!$C$5</definedName>
    <definedName name="fSt_Y">'Student Dashboard'!$G$5</definedName>
    <definedName name="cSt_Y">Calc!$C$6</definedName>
    <definedName name="fAt_B">'Attendance Dashboard'!$C$5</definedName>
    <definedName name="cAt_B">Calc!$C$7</definedName>
    <definedName name="fAt_S">'Attendance Dashboard'!$E$5</definedName>
    <definedName name="cAt_S">Calc!$C$8</definedName>
    <definedName name="fAt_Y">'Attendance Dashboard'!$G$5</definedName>
    <definedName name="cAt_Y">Calc!$C$9</definedName>
    <definedName name="fCo_B">'Course Dashboard'!$C$5</definedName>
    <definedName name="cCo_B">Calc!$C$10</definedName>
    <definedName name="fCo_S">'Course Dashboard'!$E$5</definedName>
    <definedName name="cCo_S">Calc!$C$11</definedName>
    <definedName name="fCo_Y">'Course Dashboard'!$G$5</definedName>
    <definedName name="cCo_Y">Calc!$C$12</definedName>
    <definedName name="fFa_B">'Faculty Dashboard'!$C$5</definedName>
    <definedName name="cFa_B">Calc!$C$13</definedName>
    <definedName name="fFa_Y">'Faculty Dashboard'!$E$5</definedName>
    <definedName name="cFa_Y">Calc!$C$14</definedName>
    <definedName name="fPl_B">'Placement Dashboard'!$C$5</definedName>
    <definedName name="cPl_B">Calc!$C$15</definedName>
    <definedName name="fPl_Y">'Placement Dashboard'!$E$5</definedName>
    <definedName name="cPl_Y">Calc!$C$16</definedName>
    <definedName name="fOv_B">'Overview'!$C$5</definedName>
    <definedName name="cOv_B">Calc!$C$17</definedName>
    <definedName name="fOv_Y">'Overview'!$E$5</definedName>
    <definedName name="cOv_Y">Calc!$C$18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2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color rgb="002E75B6"/>
      <sz val="10"/>
      <u val="single"/>
    </font>
    <font>
      <name val="Arial"/>
      <b val="1"/>
      <color rgb="00FFFFFF"/>
      <sz val="16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FFFFFF"/>
      <sz val="20"/>
    </font>
    <font>
      <name val="Arial"/>
      <color rgb="00BDD7EE"/>
      <sz val="10"/>
    </font>
    <font>
      <name val="Arial"/>
      <b val="1"/>
      <color rgb="00FFFFFF"/>
      <sz val="9"/>
      <u val="single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b val="1"/>
      <color rgb="001F3864"/>
      <sz val="10"/>
    </font>
    <font>
      <name val="Arial"/>
      <b val="1"/>
      <color rgb="001F3864"/>
      <sz val="2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595959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99"/>
        <bgColor rgb="00FFFF99"/>
      </patternFill>
    </fill>
    <fill>
      <patternFill patternType="solid">
        <fgColor rgb="000F7B7B"/>
        <bgColor rgb="000F7B7B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  <fill>
      <patternFill patternType="solid">
        <fgColor rgb="00F7F9FC"/>
        <bgColor rgb="00F7F9FC"/>
      </patternFill>
    </fill>
    <fill>
      <patternFill patternType="solid">
        <fgColor rgb="00C00000"/>
        <bgColor rgb="00C00000"/>
      </patternFill>
    </fill>
  </fills>
  <borders count="40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F2F2F2"/>
      </left>
      <top style="thick">
        <color rgb="002E75B6"/>
      </top>
    </border>
    <border>
      <top style="thick">
        <color rgb="002E75B6"/>
      </top>
    </border>
    <border>
      <right style="medium">
        <color rgb="00F2F2F2"/>
      </right>
      <top style="thick">
        <color rgb="002E75B6"/>
      </top>
    </border>
    <border>
      <left style="medium">
        <color rgb="00F2F2F2"/>
      </left>
    </border>
    <border/>
    <border>
      <right style="medium">
        <color rgb="00F2F2F2"/>
      </right>
    </border>
    <border>
      <left style="medium">
        <color rgb="00F2F2F2"/>
      </left>
      <right style="medium">
        <color rgb="00F2F2F2"/>
      </right>
      <top style="thick">
        <color rgb="002E75B6"/>
      </top>
    </border>
    <border>
      <left/>
      <right/>
      <top style="thick">
        <color rgb="002E75B6"/>
      </top>
      <bottom/>
      <diagonal/>
    </border>
    <border>
      <left/>
      <right style="medium">
        <color rgb="00F2F2F2"/>
      </right>
      <top style="thick">
        <color rgb="002E75B6"/>
      </top>
      <bottom/>
      <diagonal/>
    </border>
    <border>
      <left style="medium">
        <color rgb="00F2F2F2"/>
      </left>
      <right style="medium">
        <color rgb="00F2F2F2"/>
      </right>
    </border>
    <border>
      <left style="medium">
        <color rgb="00F2F2F2"/>
      </left>
      <right/>
      <top/>
      <bottom/>
      <diagonal/>
    </border>
    <border>
      <left/>
      <right style="medium">
        <color rgb="00F2F2F2"/>
      </right>
      <top/>
      <bottom/>
      <diagonal/>
    </border>
    <border>
      <left style="medium">
        <color rgb="00F2F2F2"/>
      </left>
      <top style="thick">
        <color rgb="0070AD47"/>
      </top>
    </border>
    <border>
      <top style="thick">
        <color rgb="0070AD47"/>
      </top>
    </border>
    <border>
      <right style="medium">
        <color rgb="00F2F2F2"/>
      </right>
      <top style="thick">
        <color rgb="0070AD47"/>
      </top>
    </border>
    <border>
      <left style="medium">
        <color rgb="00F2F2F2"/>
      </left>
      <right style="medium">
        <color rgb="00F2F2F2"/>
      </right>
      <top style="thick">
        <color rgb="0070AD47"/>
      </top>
    </border>
    <border>
      <left/>
      <right/>
      <top style="thick">
        <color rgb="0070AD47"/>
      </top>
      <bottom/>
      <diagonal/>
    </border>
    <border>
      <left/>
      <right style="medium">
        <color rgb="00F2F2F2"/>
      </right>
      <top style="thick">
        <color rgb="0070AD47"/>
      </top>
      <bottom/>
      <diagonal/>
    </border>
    <border>
      <left style="medium">
        <color rgb="00F2F2F2"/>
      </left>
      <top style="thick">
        <color rgb="00ED7D31"/>
      </top>
    </border>
    <border>
      <top style="thick">
        <color rgb="00ED7D31"/>
      </top>
    </border>
    <border>
      <right style="medium">
        <color rgb="00F2F2F2"/>
      </right>
      <top style="thick">
        <color rgb="00ED7D31"/>
      </top>
    </border>
    <border>
      <left style="medium">
        <color rgb="00F2F2F2"/>
      </left>
      <right style="medium">
        <color rgb="00F2F2F2"/>
      </right>
      <top style="thick">
        <color rgb="00ED7D31"/>
      </top>
    </border>
    <border>
      <left/>
      <right/>
      <top style="thick">
        <color rgb="00ED7D31"/>
      </top>
      <bottom/>
      <diagonal/>
    </border>
    <border>
      <left/>
      <right style="medium">
        <color rgb="00F2F2F2"/>
      </right>
      <top style="thick">
        <color rgb="00ED7D31"/>
      </top>
      <bottom/>
      <diagonal/>
    </border>
    <border>
      <left style="medium">
        <color rgb="00F2F2F2"/>
      </left>
      <top style="thick">
        <color rgb="007030A0"/>
      </top>
    </border>
    <border>
      <top style="thick">
        <color rgb="007030A0"/>
      </top>
    </border>
    <border>
      <right style="medium">
        <color rgb="00F2F2F2"/>
      </right>
      <top style="thick">
        <color rgb="007030A0"/>
      </top>
    </border>
    <border>
      <left style="medium">
        <color rgb="00F2F2F2"/>
      </left>
      <right style="medium">
        <color rgb="00F2F2F2"/>
      </right>
      <top style="thick">
        <color rgb="007030A0"/>
      </top>
    </border>
    <border>
      <left/>
      <right/>
      <top style="thick">
        <color rgb="007030A0"/>
      </top>
      <bottom/>
      <diagonal/>
    </border>
    <border>
      <left/>
      <right style="medium">
        <color rgb="00F2F2F2"/>
      </right>
      <top style="thick">
        <color rgb="007030A0"/>
      </top>
      <bottom/>
      <diagonal/>
    </border>
    <border>
      <bottom style="thin">
        <color rgb="00E3E3E3"/>
      </bottom>
    </border>
    <border>
      <left style="medium">
        <color rgb="00F2F2F2"/>
      </left>
      <top style="thick">
        <color rgb="00C00000"/>
      </top>
    </border>
    <border>
      <top style="thick">
        <color rgb="00C00000"/>
      </top>
    </border>
    <border>
      <right style="medium">
        <color rgb="00F2F2F2"/>
      </right>
      <top style="thick">
        <color rgb="00C00000"/>
      </top>
    </border>
    <border>
      <left style="medium">
        <color rgb="00F2F2F2"/>
      </left>
      <right style="medium">
        <color rgb="00F2F2F2"/>
      </right>
      <top style="thick">
        <color rgb="00C00000"/>
      </top>
    </border>
    <border>
      <left/>
      <right/>
      <top style="thick">
        <color rgb="00C00000"/>
      </top>
      <bottom/>
      <diagonal/>
    </border>
    <border>
      <left/>
      <right style="medium">
        <color rgb="00F2F2F2"/>
      </right>
      <top style="thick">
        <color rgb="00C00000"/>
      </top>
      <bottom/>
      <diagonal/>
    </border>
  </borders>
  <cellStyleXfs count="1">
    <xf numFmtId="0" fontId="1" fillId="0" borderId="0"/>
  </cellStyleXfs>
  <cellXfs count="105">
    <xf numFmtId="0" fontId="0" fillId="0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vertical="center"/>
    </xf>
    <xf numFmtId="0" fontId="13" fillId="2" borderId="0" applyAlignment="1" pivotButton="0" quotePrefix="0" xfId="0">
      <alignment vertical="top"/>
    </xf>
    <xf numFmtId="0" fontId="0" fillId="6" borderId="0" pivotButton="0" quotePrefix="0" xfId="0"/>
    <xf numFmtId="0" fontId="1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6" fillId="6" borderId="0" applyAlignment="1" pivotButton="0" quotePrefix="0" xfId="0">
      <alignment horizontal="right" vertical="center"/>
    </xf>
    <xf numFmtId="0" fontId="17" fillId="7" borderId="2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 wrapText="1"/>
    </xf>
    <xf numFmtId="0" fontId="16" fillId="7" borderId="9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16" fillId="7" borderId="18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20" pivotButton="0" quotePrefix="0" xfId="0"/>
    <xf numFmtId="0" fontId="16" fillId="7" borderId="24" applyAlignment="1" pivotButton="0" quotePrefix="0" xfId="0">
      <alignment horizontal="left" vertical="center" indent="1"/>
    </xf>
    <xf numFmtId="0" fontId="0" fillId="0" borderId="25" pivotButton="0" quotePrefix="0" xfId="0"/>
    <xf numFmtId="0" fontId="0" fillId="0" borderId="26" pivotButton="0" quotePrefix="0" xfId="0"/>
    <xf numFmtId="0" fontId="16" fillId="7" borderId="30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3" fontId="18" fillId="7" borderId="12" applyAlignment="1" pivotButton="0" quotePrefix="0" xfId="0">
      <alignment horizontal="left" vertical="center" indent="1"/>
    </xf>
    <xf numFmtId="0" fontId="0" fillId="0" borderId="14" pivotButton="0" quotePrefix="0" xfId="0"/>
    <xf numFmtId="166" fontId="18" fillId="7" borderId="12" applyAlignment="1" pivotButton="0" quotePrefix="0" xfId="0">
      <alignment horizontal="left" vertical="center" indent="1"/>
    </xf>
    <xf numFmtId="164" fontId="18" fillId="7" borderId="12" applyAlignment="1" pivotButton="0" quotePrefix="0" xfId="0">
      <alignment horizontal="left" vertical="center" indent="1"/>
    </xf>
    <xf numFmtId="0" fontId="0" fillId="0" borderId="13" pivotButton="0" quotePrefix="0" xfId="0"/>
    <xf numFmtId="0" fontId="3" fillId="7" borderId="12" applyAlignment="1" pivotButton="0" quotePrefix="0" xfId="0">
      <alignment horizontal="left" vertical="center" indent="1"/>
    </xf>
    <xf numFmtId="0" fontId="19" fillId="2" borderId="0" applyAlignment="1" pivotButton="0" quotePrefix="0" xfId="0">
      <alignment vertical="center" indent="1"/>
    </xf>
    <xf numFmtId="0" fontId="1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7" fillId="7" borderId="33" applyAlignment="1" pivotButton="0" quotePrefix="0" xfId="0">
      <alignment horizontal="center"/>
    </xf>
    <xf numFmtId="49" fontId="20" fillId="7" borderId="33" applyAlignment="1" pivotButton="0" quotePrefix="0" xfId="0">
      <alignment horizontal="center"/>
    </xf>
    <xf numFmtId="166" fontId="20" fillId="7" borderId="33" applyAlignment="1" pivotButton="0" quotePrefix="0" xfId="0">
      <alignment horizontal="center"/>
    </xf>
    <xf numFmtId="166" fontId="5" fillId="7" borderId="33" applyAlignment="1" pivotButton="0" quotePrefix="0" xfId="0">
      <alignment horizontal="center"/>
    </xf>
    <xf numFmtId="0" fontId="20" fillId="7" borderId="33" pivotButton="0" quotePrefix="0" xfId="0"/>
    <xf numFmtId="0" fontId="21" fillId="7" borderId="33" pivotButton="0" quotePrefix="0" xfId="0"/>
    <xf numFmtId="0" fontId="0" fillId="7" borderId="33" pivotButton="0" quotePrefix="0" xfId="0"/>
    <xf numFmtId="166" fontId="17" fillId="7" borderId="33" applyAlignment="1" pivotButton="0" quotePrefix="0" xfId="0">
      <alignment horizontal="center"/>
    </xf>
    <xf numFmtId="0" fontId="8" fillId="7" borderId="33" applyAlignment="1" pivotButton="0" quotePrefix="0" xfId="0">
      <alignment horizontal="center"/>
    </xf>
    <xf numFmtId="0" fontId="17" fillId="9" borderId="33" applyAlignment="1" pivotButton="0" quotePrefix="0" xfId="0">
      <alignment horizontal="center"/>
    </xf>
    <xf numFmtId="49" fontId="20" fillId="9" borderId="33" applyAlignment="1" pivotButton="0" quotePrefix="0" xfId="0">
      <alignment horizontal="center"/>
    </xf>
    <xf numFmtId="166" fontId="20" fillId="9" borderId="33" applyAlignment="1" pivotButton="0" quotePrefix="0" xfId="0">
      <alignment horizontal="center"/>
    </xf>
    <xf numFmtId="166" fontId="5" fillId="9" borderId="33" applyAlignment="1" pivotButton="0" quotePrefix="0" xfId="0">
      <alignment horizontal="center"/>
    </xf>
    <xf numFmtId="0" fontId="20" fillId="9" borderId="33" pivotButton="0" quotePrefix="0" xfId="0"/>
    <xf numFmtId="0" fontId="21" fillId="9" borderId="33" pivotButton="0" quotePrefix="0" xfId="0"/>
    <xf numFmtId="0" fontId="0" fillId="9" borderId="33" pivotButton="0" quotePrefix="0" xfId="0"/>
    <xf numFmtId="166" fontId="17" fillId="9" borderId="33" applyAlignment="1" pivotButton="0" quotePrefix="0" xfId="0">
      <alignment horizontal="center"/>
    </xf>
    <xf numFmtId="0" fontId="8" fillId="9" borderId="33" applyAlignment="1" pivotButton="0" quotePrefix="0" xfId="0">
      <alignment horizontal="center"/>
    </xf>
    <xf numFmtId="164" fontId="17" fillId="7" borderId="33" applyAlignment="1" pivotButton="0" quotePrefix="0" xfId="0">
      <alignment horizontal="center"/>
    </xf>
    <xf numFmtId="0" fontId="3" fillId="6" borderId="0" applyAlignment="1" pivotButton="0" quotePrefix="0" xfId="0">
      <alignment vertical="top" wrapText="1"/>
    </xf>
    <xf numFmtId="2" fontId="18" fillId="7" borderId="12" applyAlignment="1" pivotButton="0" quotePrefix="0" xfId="0">
      <alignment horizontal="left" vertical="center" indent="1"/>
    </xf>
    <xf numFmtId="0" fontId="19" fillId="8" borderId="0" applyAlignment="1" pivotButton="0" quotePrefix="0" xfId="0">
      <alignment vertical="center" indent="1"/>
    </xf>
    <xf numFmtId="0" fontId="0" fillId="8" borderId="0" pivotButton="0" quotePrefix="0" xfId="0"/>
    <xf numFmtId="0" fontId="19" fillId="10" borderId="0" applyAlignment="1" pivotButton="0" quotePrefix="0" xfId="0">
      <alignment vertical="center" indent="1"/>
    </xf>
    <xf numFmtId="0" fontId="0" fillId="10" borderId="0" pivotButton="0" quotePrefix="0" xfId="0"/>
    <xf numFmtId="0" fontId="15" fillId="5" borderId="0" applyAlignment="1" pivotButton="0" quotePrefix="0" xfId="0">
      <alignment horizontal="center" vertical="center" wrapText="1"/>
    </xf>
    <xf numFmtId="49" fontId="5" fillId="7" borderId="33" applyAlignment="1" pivotButton="0" quotePrefix="0" xfId="0">
      <alignment horizontal="left" vertical="center" shrinkToFit="1"/>
    </xf>
    <xf numFmtId="49" fontId="5" fillId="7" borderId="33" applyAlignment="1" pivotButton="0" quotePrefix="0" xfId="0">
      <alignment horizontal="center" vertical="center"/>
    </xf>
    <xf numFmtId="1" fontId="5" fillId="7" borderId="33" applyAlignment="1" pivotButton="0" quotePrefix="0" xfId="0">
      <alignment horizontal="center" vertical="center"/>
    </xf>
    <xf numFmtId="2" fontId="5" fillId="7" borderId="33" applyAlignment="1" pivotButton="0" quotePrefix="0" xfId="0">
      <alignment horizontal="center" vertical="center"/>
    </xf>
    <xf numFmtId="49" fontId="5" fillId="9" borderId="33" applyAlignment="1" pivotButton="0" quotePrefix="0" xfId="0">
      <alignment horizontal="left" vertical="center" shrinkToFit="1"/>
    </xf>
    <xf numFmtId="49" fontId="5" fillId="9" borderId="33" applyAlignment="1" pivotButton="0" quotePrefix="0" xfId="0">
      <alignment horizontal="center" vertical="center"/>
    </xf>
    <xf numFmtId="1" fontId="5" fillId="9" borderId="33" applyAlignment="1" pivotButton="0" quotePrefix="0" xfId="0">
      <alignment horizontal="center" vertical="center"/>
    </xf>
    <xf numFmtId="2" fontId="5" fillId="9" borderId="33" applyAlignment="1" pivotButton="0" quotePrefix="0" xfId="0">
      <alignment horizontal="center" vertical="center"/>
    </xf>
    <xf numFmtId="0" fontId="16" fillId="7" borderId="37" applyAlignment="1" pivotButton="0" quotePrefix="0" xfId="0">
      <alignment horizontal="left" vertical="center" indent="1"/>
    </xf>
    <xf numFmtId="0" fontId="0" fillId="0" borderId="38" pivotButton="0" quotePrefix="0" xfId="0"/>
    <xf numFmtId="0" fontId="0" fillId="0" borderId="39" pivotButton="0" quotePrefix="0" xfId="0"/>
    <xf numFmtId="166" fontId="5" fillId="7" borderId="33" applyAlignment="1" pivotButton="0" quotePrefix="0" xfId="0">
      <alignment horizontal="center" vertical="center"/>
    </xf>
    <xf numFmtId="166" fontId="5" fillId="9" borderId="33" applyAlignment="1" pivotButton="0" quotePrefix="0" xfId="0">
      <alignment horizontal="center" vertical="center"/>
    </xf>
    <xf numFmtId="164" fontId="5" fillId="7" borderId="33" applyAlignment="1" pivotButton="0" quotePrefix="0" xfId="0">
      <alignment horizontal="center" vertical="center"/>
    </xf>
    <xf numFmtId="164" fontId="5" fillId="9" borderId="3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indent="1"/>
    </xf>
    <xf numFmtId="0" fontId="8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165" fontId="5" fillId="0" borderId="0" pivotButton="0" quotePrefix="0" xfId="0"/>
    <xf numFmtId="166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12" fillId="2" borderId="0" pivotButton="0" quotePrefix="0" xfId="0"/>
    <xf numFmtId="0" fontId="13" fillId="2" borderId="0" pivotButton="0" quotePrefix="0" xfId="0"/>
    <xf numFmtId="0" fontId="8" fillId="6" borderId="0" pivotButton="0" quotePrefix="0" xfId="0"/>
    <xf numFmtId="0" fontId="22" fillId="5" borderId="0" pivotButton="0" quotePrefix="0" xfId="0"/>
    <xf numFmtId="0" fontId="17" fillId="7" borderId="33" applyAlignment="1" pivotButton="0" quotePrefix="0" xfId="0">
      <alignment vertical="top" wrapText="1"/>
    </xf>
    <xf numFmtId="0" fontId="5" fillId="7" borderId="33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1" fontId="6" fillId="3" borderId="0" pivotButton="0" quotePrefix="0" xfId="0"/>
    <xf numFmtId="0" fontId="7" fillId="0" borderId="0" pivotButton="0" quotePrefix="0" xfId="0"/>
    <xf numFmtId="164" fontId="6" fillId="3" borderId="0" pivotButton="0" quotePrefix="0" xfId="0"/>
    <xf numFmtId="9" fontId="6" fillId="3" borderId="0" pivotButton="0" quotePrefix="0" xfId="0"/>
    <xf numFmtId="0" fontId="10" fillId="0" borderId="0" pivotButton="0" quotePrefix="0" xfId="0"/>
    <xf numFmtId="0" fontId="4" fillId="2" borderId="0" pivotButton="0" quotePrefix="0" xfId="0"/>
    <xf numFmtId="0" fontId="11" fillId="0" borderId="0" pivotButton="0" quotePrefix="0" xfId="0"/>
    <xf numFmtId="0" fontId="4" fillId="5" borderId="0" applyAlignment="1" pivotButton="0" quotePrefix="0" xfId="0">
      <alignment horizontal="center" wrapText="1"/>
    </xf>
    <xf numFmtId="2" fontId="5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0">
    <dxf>
      <font>
        <name val="Arial"/>
        <b val="1"/>
        <color rgb="00C00000"/>
        <sz val="24"/>
      </font>
    </dxf>
    <dxf>
      <font>
        <name val="Arial"/>
        <b val="1"/>
        <color rgb="00548235"/>
        <sz val="24"/>
      </font>
    </dxf>
    <dxf>
      <font>
        <name val="Arial"/>
        <b val="1"/>
        <color rgb="00C00000"/>
      </font>
    </dxf>
    <dxf>
      <font>
        <name val="Arial"/>
        <b val="1"/>
        <color rgb="00548235"/>
      </font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  <sz val="24"/>
      </font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Pass, Attendance &amp; Placement Rate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'Calc'!C163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'Calc'!$A$164:$A$168</f>
            </numRef>
          </cat>
          <val>
            <numRef>
              <f>'Calc'!$C$164:$C$168</f>
            </numRef>
          </val>
        </ser>
        <ser>
          <idx val="1"/>
          <order val="1"/>
          <tx>
            <strRef>
              <f>'Calc'!D163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'Calc'!$A$164:$A$168</f>
            </numRef>
          </cat>
          <val>
            <numRef>
              <f>'Calc'!$D$164:$D$168</f>
            </numRef>
          </val>
        </ser>
        <ser>
          <idx val="2"/>
          <order val="2"/>
          <tx>
            <strRef>
              <f>'Calc'!E163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'Calc'!$A$164:$A$168</f>
            </numRef>
          </cat>
          <val>
            <numRef>
              <f>'Calc'!$E$164:$E$168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legend>
      <legendPos val="b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Trend by Year (Branch filter applies)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'Calc'!B172</f>
            </strRef>
          </tx>
          <spPr>
            <a:ln xmlns:a="http://schemas.openxmlformats.org/drawingml/2006/main" w="28575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'Calc'!$A$173:$A$176</f>
            </numRef>
          </cat>
          <val>
            <numRef>
              <f>'Calc'!$B$173:$B$176</f>
            </numRef>
          </val>
          <smooth val="0"/>
        </ser>
        <ser>
          <idx val="1"/>
          <order val="1"/>
          <tx>
            <strRef>
              <f>'Calc'!C172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'Calc'!$A$173:$A$176</f>
            </numRef>
          </cat>
          <val>
            <numRef>
              <f>'Calc'!$C$173:$C$176</f>
            </numRef>
          </val>
          <smooth val="0"/>
        </ser>
        <ser>
          <idx val="2"/>
          <order val="2"/>
          <tx>
            <strRef>
              <f>'Calc'!D172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'Calc'!$A$173:$A$176</f>
            </numRef>
          </cat>
          <val>
            <numRef>
              <f>'Calc'!$D$173:$D$176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.4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legend>
      <legendPos val="b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Students by Branch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'Calc'!B163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'Calc'!$A$164:$A$168</f>
            </numRef>
          </cat>
          <val>
            <numRef>
              <f>'Calc'!$B$164:$B$168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Faculty Score vs Course Pass Rate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'Calc'!F163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solidFill>
                <a:srgbClr val="7030A0"/>
              </a:solidFill>
              <a:prstDash val="solid"/>
            </a:ln>
          </spPr>
          <cat>
            <numRef>
              <f>'Calc'!$A$164:$A$168</f>
            </numRef>
          </cat>
          <val>
            <numRef>
              <f>'Calc'!$F$164:$F$168</f>
            </numRef>
          </val>
        </ser>
        <ser>
          <idx val="1"/>
          <order val="1"/>
          <tx>
            <strRef>
              <f>'Calc'!G163</f>
            </strRef>
          </tx>
          <spPr>
            <a:solidFill xmlns:a="http://schemas.openxmlformats.org/drawingml/2006/main">
              <a:srgbClr val="00A3A1"/>
            </a:solidFill>
            <a:ln xmlns:a="http://schemas.openxmlformats.org/drawingml/2006/main">
              <a:solidFill>
                <a:srgbClr val="00A3A1"/>
              </a:solidFill>
              <a:prstDash val="solid"/>
            </a:ln>
          </spPr>
          <cat>
            <numRef>
              <f>'Calc'!$A$164:$A$168</f>
            </numRef>
          </cat>
          <val>
            <numRef>
              <f>'Calc'!$G$164:$G$168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legend>
      <legendPos val="b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SGPA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'Calc'!B22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'Calc'!$A$23:$A$27</f>
            </numRef>
          </cat>
          <val>
            <numRef>
              <f>'Calc'!$B$23:$B$27</f>
            </numRef>
          </val>
        </ser>
        <dLbls>
          <numFmt formatCode="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Pass Rate by Semester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'Calc'!B31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'Calc'!$A$32:$A$39</f>
            </numRef>
          </cat>
          <val>
            <numRef>
              <f>'Calc'!$B$32:$B$39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.5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Grade Distribution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'Calc'!B43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A3A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'Calc'!$A$44:$A$51</f>
            </numRef>
          </cat>
          <val>
            <numRef>
              <f>'Calc'!$B$44:$B$51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Internal vs External Marks (all students)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Students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'Students'!$G$5:$G$244</f>
            </numRef>
          </xVal>
          <yVal>
            <numRef>
              <f>'Students'!$H$5:$H$244</f>
            </numRef>
          </yVal>
        </ser>
        <axId val="10"/>
        <axId val="20"/>
      </scatterChart>
      <valAx>
        <axId val="10"/>
        <scaling>
          <orientation val="minMax"/>
          <max val="40"/>
          <min val="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Internal marks (max 40)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6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External marks (max 60)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Attendance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'Calc'!B55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'Calc'!$A$56:$A$60</f>
            </numRef>
          </cat>
          <val>
            <numRef>
              <f>'Calc'!$B$56:$B$60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Attendance by Semester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'Calc'!B64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'Calc'!$A$65:$A$72</f>
            </numRef>
          </cat>
          <val>
            <numRef>
              <f>'Calc'!$B$65:$B$72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.6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Attendance Status Mix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'Calc'!B76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'Calc'!$A$77:$A$80</f>
            </numRef>
          </cat>
          <val>
            <numRef>
              <f>'Calc'!$B$77:$B$80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Attendance % vs Total Marks (all students)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Students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3A1"/>
              </a:solidFill>
              <a:ln xmlns:a="http://schemas.openxmlformats.org/drawingml/2006/main">
                <a:solidFill>
                  <a:srgbClr val="00A3A1"/>
                </a:solidFill>
                <a:prstDash val="solid"/>
              </a:ln>
            </spPr>
          </marker>
          <xVal>
            <numRef>
              <f>'Attendance'!$H$5:$H$244</f>
            </numRef>
          </xVal>
          <yVal>
            <numRef>
              <f>'Attendance'!$J$5:$J$244</f>
            </numRef>
          </yVal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Attendance %</a:t>
                </a:r>
              </a:p>
            </rich>
          </tx>
          <overlay val="0"/>
        </title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100"/>
          <min val="2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Total marks (out of 100)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Performance Score by Department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'Calc'!B84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'Calc'!$A$85:$A$89</f>
            </numRef>
          </cat>
          <val>
            <numRef>
              <f>'Calc'!$B$85:$B$89</f>
            </numRef>
          </val>
        </ser>
        <dLbls>
          <numFmt formatCode="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Student Feedback by Year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'Calc'!B93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'Calc'!$A$94:$A$97</f>
            </numRef>
          </cat>
          <val>
            <numRef>
              <f>'Calc'!$B$94:$B$97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3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Faculty by Designation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'Calc'!B101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'Calc'!$A$102:$A$105</f>
            </numRef>
          </cat>
          <val>
            <numRef>
              <f>'Calc'!$B$102:$B$105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Experience vs Student Feedback (all faculty)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Faculty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'Faculty'!$F$5:$F$34</f>
            </numRef>
          </xVal>
          <yVal>
            <numRef>
              <f>'Faculty'!$H$5:$H$34</f>
            </numRef>
          </yVal>
        </ser>
        <axId val="10"/>
        <axId val="20"/>
      </scatterChart>
      <valAx>
        <axId val="1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Experience (years)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5"/>
          <min val="3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Feedback (out of 5)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Placement Rate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'Calc'!B109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'Calc'!$A$110:$A$114</f>
            </numRef>
          </cat>
          <val>
            <numRef>
              <f>'Calc'!$B$110:$B$114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Package by Year (LPA)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'Calc'!B118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'Calc'!$A$119:$A$122</f>
            </numRef>
          </cat>
          <val>
            <numRef>
              <f>'Calc'!$B$119:$B$122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Offers by Sector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'Calc'!B126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'Calc'!$A$127:$A$131</f>
            </numRef>
          </cat>
          <val>
            <numRef>
              <f>'Calc'!$B$127:$B$131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CGPA vs Package (placed students)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Placed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'Placements'!$E$5:$E$154</f>
            </numRef>
          </xVal>
          <yVal>
            <numRef>
              <f>'Placements'!$K$5:$K$154</f>
            </numRef>
          </yVal>
        </ser>
        <axId val="10"/>
        <axId val="20"/>
      </scatterChart>
      <valAx>
        <axId val="10"/>
        <scaling>
          <orientation val="minMax"/>
          <max val="10"/>
          <min val="5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CGPA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Package (LPA)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Pass Rate by Branch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'Calc'!B135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'Calc'!$A$136:$A$140</f>
            </numRef>
          </cat>
          <val>
            <numRef>
              <f>'Calc'!$B$136:$B$140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Pass Rate by Semester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'Calc'!B144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'Calc'!$A$145:$A$152</f>
            </numRef>
          </cat>
          <val>
            <numRef>
              <f>'Calc'!$B$145:$B$152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.5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Enrollment by Course Type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'Calc'!B156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'Calc'!$A$157:$A$159</f>
            </numRef>
          </cat>
          <val>
            <numRef>
              <f>'Calc'!$B$157:$B$159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sz="1100" b="1">
                <a:solidFill>
                  <a:srgbClr val="1F3864"/>
                </a:solidFill>
                <a:latin typeface="Arial"/>
              </a:rPr>
              <a:t>Average Attendance vs Pass Rate (all courses)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Courses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3A1"/>
              </a:solidFill>
              <a:ln xmlns:a="http://schemas.openxmlformats.org/drawingml/2006/main">
                <a:solidFill>
                  <a:srgbClr val="00A3A1"/>
                </a:solidFill>
                <a:prstDash val="solid"/>
              </a:ln>
            </spPr>
          </marker>
          <xVal>
            <numRef>
              <f>'Courses'!$N$5:$N$29</f>
            </numRef>
          </xVal>
          <yVal>
            <numRef>
              <f>'Courses'!$L$5:$L$29</f>
            </numRef>
          </yVal>
        </ser>
        <axId val="10"/>
        <axId val="20"/>
      </scatterChart>
      <valAx>
        <axId val="10"/>
        <scaling>
          <orientation val="minMax"/>
          <max val="1"/>
          <min val="0.6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Average attendance</a:t>
                </a:r>
              </a:p>
            </rich>
          </tx>
          <overlay val="0"/>
        </title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1"/>
          <min val="0.7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404040"/>
                    </a:solidFill>
                    <a:latin typeface="Arial"/>
                  </a:defRPr>
                </a:pPr>
                <a:r>
                  <a:rPr sz="800" b="0">
                    <a:solidFill>
                      <a:srgbClr val="404040"/>
                    </a:solidFill>
                    <a:latin typeface="Arial"/>
                  </a:rPr>
                  <a:t>Pass rate</a:t>
                </a:r>
              </a:p>
            </rich>
          </tx>
          <overlay val="0"/>
        </title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tudents" displayName="tblStudents" ref="A4:M244" headerRowCount="1">
  <autoFilter ref="A4:M244"/>
  <tableColumns count="13">
    <tableColumn id="1" name="StudentID"/>
    <tableColumn id="2" name="Student Name"/>
    <tableColumn id="3" name="Gender"/>
    <tableColumn id="4" name="Branch"/>
    <tableColumn id="5" name="Semester"/>
    <tableColumn id="6" name="Year"/>
    <tableColumn id="7" name="Internal Marks"/>
    <tableColumn id="8" name="External Marks"/>
    <tableColumn id="9" name="Total Marks">
      <calculatedColumnFormula>tblStudents[[#This Row],[Internal Marks]]+tblStudents[[#This Row],[External Marks]]</calculatedColumnFormula>
    </tableColumn>
    <tableColumn id="10" name="Result">
      <calculatedColumnFormula>IF(AND(tblStudents[[#This Row],[Total Marks]]&gt;=p_PassTotal,tblStudents[[#This Row],[External Marks]]&gt;=p_PassExt),"Pass","Fail")</calculatedColumnFormula>
    </tableColumn>
    <tableColumn id="11" name="Grade">
      <calculatedColumnFormula>IF(tblStudents[[#This Row],[Result]]="Fail","F",INDEX(Lists!$J$4:$J$11,MATCH(tblStudents[[#This Row],[Total Marks]],Lists!$I$4:$I$11,1)))</calculatedColumnFormula>
    </tableColumn>
    <tableColumn id="12" name="SGPA">
      <calculatedColumnFormula>IF(tblStudents[[#This Row],[Result]]="Pass",ROUND(MIN(10,tblStudents[[#This Row],[Total Marks]]/p_SgpaDiv),2),0)</calculatedColumnFormula>
    </tableColumn>
    <tableColumn id="13" name="Rank Key">
      <calculatedColumnFormula>IF(COUNTIFS(tblStudents[[#This Row],[Branch]],cSt_B,tblStudents[[#This Row],[Semester]],cSt_S,tblStudents[[#This Row],[Year]],cSt_Y)=1,tblStudents[[#This Row],[Total Marks]]+ROW()/1000000,"")</calculatedColumnFormula>
    </tableColumn>
  </tableColumns>
  <tableStyleInfo name="TableStyleLight1" showRowStripes="1"/>
</table>
</file>

<file path=xl/tables/table2.xml><?xml version="1.0" encoding="utf-8"?>
<table xmlns="http://schemas.openxmlformats.org/spreadsheetml/2006/main" id="2" name="tblAttendance" displayName="tblAttendance" ref="A4:K244" headerRowCount="1">
  <autoFilter ref="A4:K244"/>
  <tableColumns count="11">
    <tableColumn id="1" name="StudentID"/>
    <tableColumn id="2" name="Student Name">
      <calculatedColumnFormula>IFERROR(INDEX(tblStudents[Student Name],MATCH(tblAttendance[[#This Row],[StudentID]],tblStudents[StudentID],0)),"Unknown")</calculatedColumnFormula>
    </tableColumn>
    <tableColumn id="3" name="Branch">
      <calculatedColumnFormula>IFERROR(INDEX(tblStudents[Branch],MATCH(tblAttendance[[#This Row],[StudentID]],tblStudents[StudentID],0)),"Unknown")</calculatedColumnFormula>
    </tableColumn>
    <tableColumn id="4" name="Semester">
      <calculatedColumnFormula>IFERROR(INDEX(tblStudents[Semester],MATCH(tblAttendance[[#This Row],[StudentID]],tblStudents[StudentID],0)),"Unknown")</calculatedColumnFormula>
    </tableColumn>
    <tableColumn id="5" name="Year">
      <calculatedColumnFormula>IFERROR(INDEX(tblStudents[Year],MATCH(tblAttendance[[#This Row],[StudentID]],tblStudents[StudentID],0)),"Unknown")</calculatedColumnFormula>
    </tableColumn>
    <tableColumn id="6" name="Classes Held"/>
    <tableColumn id="7" name="Classes Attended"/>
    <tableColumn id="8" name="Attendance %">
      <calculatedColumnFormula>IFERROR(tblAttendance[[#This Row],[Classes Attended]]/tblAttendance[[#This Row],[Classes Held]],0)</calculatedColumnFormula>
    </tableColumn>
    <tableColumn id="9" name="Status">
      <calculatedColumnFormula>IF(tblAttendance[[#This Row],[Attendance %]]&gt;=p_AttExc,"Excellent",IF(tblAttendance[[#This Row],[Attendance %]]&gt;=p_AttGood,"Good",IF(tblAttendance[[#This Row],[Attendance %]]&gt;=p_AttMin,"Satisfactory","Shortage")))</calculatedColumnFormula>
    </tableColumn>
    <tableColumn id="10" name="Total Marks">
      <calculatedColumnFormula>IFERROR(INDEX(tblStudents[Total Marks],MATCH(tblAttendance[[#This Row],[StudentID]],tblStudents[StudentID],0)),"Unknown")</calculatedColumnFormula>
    </tableColumn>
    <tableColumn id="11" name="Rank Key">
      <calculatedColumnFormula>IF(COUNTIFS(tblAttendance[[#This Row],[Branch]],cAt_B,tblAttendance[[#This Row],[Semester]],cAt_S,tblAttendance[[#This Row],[Year]],cAt_Y)=1,tblAttendance[[#This Row],[Attendance %]]+ROW()/1000000000,"")</calculatedColumnFormula>
    </tableColumn>
  </tableColumns>
  <tableStyleInfo name="TableStyleLight1" showRowStripes="1"/>
</table>
</file>

<file path=xl/tables/table3.xml><?xml version="1.0" encoding="utf-8"?>
<table xmlns="http://schemas.openxmlformats.org/spreadsheetml/2006/main" id="3" name="tblFaculty" displayName="tblFaculty" ref="A4:M34" headerRowCount="1">
  <autoFilter ref="A4:M34"/>
  <tableColumns count="13">
    <tableColumn id="1" name="FacultyID"/>
    <tableColumn id="2" name="Faculty Name"/>
    <tableColumn id="3" name="Department"/>
    <tableColumn id="4" name="Designation"/>
    <tableColumn id="5" name="Year"/>
    <tableColumn id="6" name="Experience Yrs"/>
    <tableColumn id="7" name="Courses Taught"/>
    <tableColumn id="8" name="Student Feedback"/>
    <tableColumn id="9" name="Student Pass Rate"/>
    <tableColumn id="10" name="Research Papers"/>
    <tableColumn id="11" name="Performance Score">
      <calculatedColumnFormula>ROUND(tblFaculty[[#This Row],[Student Feedback]]/5*w_Fb+tblFaculty[[#This Row],[Student Pass Rate]]*w_Pass+MIN(tblFaculty[[#This Row],[Research Papers]],p_ResCap)/p_ResCap*w_Res+MIN(tblFaculty[[#This Row],[Experience Yrs]],p_ExpCap)/p_ExpCap*w_Exp,1)</calculatedColumnFormula>
    </tableColumn>
    <tableColumn id="12" name="Rating">
      <calculatedColumnFormula>IF(tblFaculty[[#This Row],[Performance Score]]&gt;=p_Rate1,"Outstanding",IF(tblFaculty[[#This Row],[Performance Score]]&gt;=p_Rate2,"Very Good",IF(tblFaculty[[#This Row],[Performance Score]]&gt;=p_Rate3,"Good","Needs Improvement")))</calculatedColumnFormula>
    </tableColumn>
    <tableColumn id="13" name="Rank Key">
      <calculatedColumnFormula>IF(COUNTIFS(tblFaculty[[#This Row],[Department]],cFa_B,tblFaculty[[#This Row],[Year]],cFa_Y)=1,tblFaculty[[#This Row],[Performance Score]]+ROW()/1000000,"")</calculatedColumnFormula>
    </tableColumn>
  </tableColumns>
  <tableStyleInfo name="TableStyleLight1" showRowStripes="1"/>
</table>
</file>

<file path=xl/tables/table4.xml><?xml version="1.0" encoding="utf-8"?>
<table xmlns="http://schemas.openxmlformats.org/spreadsheetml/2006/main" id="4" name="tblPlacements" displayName="tblPlacements" ref="A4:L154" headerRowCount="1">
  <autoFilter ref="A4:L154"/>
  <tableColumns count="12">
    <tableColumn id="1" name="PlacementID"/>
    <tableColumn id="2" name="Student Name"/>
    <tableColumn id="3" name="Branch"/>
    <tableColumn id="4" name="Year"/>
    <tableColumn id="5" name="CGPA"/>
    <tableColumn id="6" name="Status"/>
    <tableColumn id="7" name="Company"/>
    <tableColumn id="8" name="Sector"/>
    <tableColumn id="9" name="Role"/>
    <tableColumn id="10" name="Offer Type"/>
    <tableColumn id="11" name="Package LPA"/>
    <tableColumn id="12" name="Rank Key">
      <calculatedColumnFormula>IF(AND(COUNTIFS(tblPlacements[[#This Row],[Branch]],cPl_B,tblPlacements[[#This Row],[Year]],cPl_Y)=1,tblPlacements[[#This Row],[Status]]="Placed"),tblPlacements[[#This Row],[Package LPA]]+ROW()/1000000,"")</calculatedColumnFormula>
    </tableColumn>
  </tableColumns>
  <tableStyleInfo name="TableStyleLight1" showRowStripes="1"/>
</table>
</file>

<file path=xl/tables/table5.xml><?xml version="1.0" encoding="utf-8"?>
<table xmlns="http://schemas.openxmlformats.org/spreadsheetml/2006/main" id="5" name="tblCourses" displayName="tblCourses" ref="A4:P29" headerRowCount="1">
  <autoFilter ref="A4:P29"/>
  <tableColumns count="16">
    <tableColumn id="1" name="CourseCode"/>
    <tableColumn id="2" name="Course Name"/>
    <tableColumn id="3" name="Branch"/>
    <tableColumn id="4" name="Semester"/>
    <tableColumn id="5" name="Year"/>
    <tableColumn id="6" name="Type"/>
    <tableColumn id="7" name="Credits"/>
    <tableColumn id="8" name="FacultyID"/>
    <tableColumn id="9" name="Faculty Name">
      <calculatedColumnFormula>IFERROR(INDEX(tblFaculty[Faculty Name],MATCH(tblCourses[[#This Row],[FacultyID]],tblFaculty[FacultyID],0)),"Unknown")</calculatedColumnFormula>
    </tableColumn>
    <tableColumn id="10" name="Enrolled"/>
    <tableColumn id="11" name="Passed"/>
    <tableColumn id="12" name="Pass Rate">
      <calculatedColumnFormula>IFERROR(tblCourses[[#This Row],[Passed]]/tblCourses[[#This Row],[Enrolled]],0)</calculatedColumnFormula>
    </tableColumn>
    <tableColumn id="13" name="Avg Marks"/>
    <tableColumn id="14" name="Avg Attendance"/>
    <tableColumn id="15" name="Rating"/>
    <tableColumn id="16" name="Rank Key">
      <calculatedColumnFormula>IF(COUNTIFS(tblCourses[[#This Row],[Branch]],cCo_B,tblCourses[[#This Row],[Semester]],cCo_S,tblCourses[[#This Row],[Year]],cCo_Y)=1,tblCourses[[#This Row],[Pass Rate]]+ROW()/1000000000,"")</calculatedColumnFormula>
    </tableColumn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Education &amp; Student Analytics System</t>
        </is>
      </c>
      <c r="O1" s="1" t="n"/>
    </row>
    <row r="2" ht="18" customHeight="1">
      <c r="A2" s="1" t="n"/>
      <c r="B2" s="3" t="inlineStr">
        <is>
          <t>Executive overview of all five modules  |  filter by Branch and Year</t>
        </is>
      </c>
      <c r="O2" s="1" t="n"/>
    </row>
    <row r="3" ht="22" customHeight="1">
      <c r="A3" s="4" t="n"/>
      <c r="B3" s="5" t="inlineStr">
        <is>
          <t>« Overview</t>
        </is>
      </c>
      <c r="C3" s="6" t="n"/>
      <c r="D3" s="7" t="inlineStr">
        <is>
          <t>Students</t>
        </is>
      </c>
      <c r="E3" s="7" t="inlineStr">
        <is>
          <t>Attendance</t>
        </is>
      </c>
      <c r="F3" s="7" t="inlineStr">
        <is>
          <t>Faculty</t>
        </is>
      </c>
      <c r="G3" s="7" t="inlineStr">
        <is>
          <t>Placements</t>
        </is>
      </c>
      <c r="H3" s="4" t="n"/>
      <c r="I3" s="7" t="inlineStr">
        <is>
          <t>Courses</t>
        </is>
      </c>
      <c r="J3" s="8" t="n"/>
      <c r="K3" s="7" t="inlineStr">
        <is>
          <t>Instructions</t>
        </is>
      </c>
      <c r="L3" s="8" t="n"/>
      <c r="M3" s="7" t="inlineStr">
        <is>
          <t>Lists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Year</t>
        </is>
      </c>
      <c r="E5" s="10" t="inlineStr">
        <is>
          <t>All</t>
        </is>
      </c>
      <c r="F5" s="4" t="n"/>
      <c r="G5" s="4" t="n"/>
      <c r="H5" s="4" t="n"/>
      <c r="I5" s="11" t="inlineStr">
        <is>
          <t>Choose 'All' to clear a filter. Branch charts compare all branches (Year filter applies). Click any button above to jump to a module.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STUDENTS ASSESSED</t>
        </is>
      </c>
      <c r="C7" s="13" t="n"/>
      <c r="D7" s="14" t="n"/>
      <c r="E7" s="15" t="inlineStr">
        <is>
          <t>AVERAGE ATTENDANCE</t>
        </is>
      </c>
      <c r="F7" s="16" t="n"/>
      <c r="G7" s="17" t="n"/>
      <c r="H7" s="4" t="n"/>
      <c r="I7" s="18" t="inlineStr">
        <is>
          <t>PLACEMENT RATE</t>
        </is>
      </c>
      <c r="J7" s="19" t="n"/>
      <c r="K7" s="20" t="n"/>
      <c r="L7" s="21" t="inlineStr">
        <is>
          <t>AVG FACULTY SCORE</t>
        </is>
      </c>
      <c r="M7" s="22" t="n"/>
      <c r="N7" s="23" t="n"/>
      <c r="O7" s="4" t="n"/>
    </row>
    <row r="8" ht="22" customHeight="1">
      <c r="A8" s="4" t="n"/>
      <c r="B8" s="24">
        <f>COUNTIFS(tblStudents[Branch],cOv_B,tblStudents[Year],cOv_Y)</f>
        <v>240</v>
      </c>
      <c r="D8" s="25" t="n"/>
      <c r="E8" s="26">
        <f>IFERROR(AVERAGEIFS(tblAttendance[Attendance %],tblAttendance[Branch],cOv_B,tblAttendance[Year],cOv_Y),0)</f>
        <v>0.834516804881111</v>
      </c>
      <c r="G8" s="25" t="n"/>
      <c r="H8" s="4" t="n"/>
      <c r="I8" s="26">
        <f>IFERROR(COUNTIFS(tblPlacements[Branch],cOv_B,tblPlacements[Year],cOv_Y,tblPlacements[Status],"Placed")/COUNTIFS(tblPlacements[Branch],cOv_B,tblPlacements[Year],cOv_Y),0)</f>
        <v>0.76</v>
      </c>
      <c r="K8" s="25" t="n"/>
      <c r="L8" s="27">
        <f>IFERROR(AVERAGEIFS(tblFaculty[Performance Score],tblFaculty[Department],cOv_B,tblFaculty[Year],cOv_Y),0)</f>
        <v>76.45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"Pass rate: "&amp;TEXT(IFERROR(COUNTIFS(tblStudents[Branch],cOv_B,tblStudents[Year],cOv_Y,tblStudents[Result],"Pass")/COUNTIFS(tblStudents[Branch],cOv_B,tblStudents[Year],cOv_Y),0),"0.0%")</f>
        <v>Pass rate: 89.2%</v>
      </c>
      <c r="D10" s="25" t="n"/>
      <c r="E10" s="29" t="str">
        <f>COUNTIFS(tblAttendance[Branch],cOv_B,tblAttendance[Year],cOv_Y,tblAttendance[Attendance %],"&lt;"&amp;p_AttMin)&amp;" students below "&amp;TEXT(p_AttMin,"0%")</f>
        <v>42 students below 75%</v>
      </c>
      <c r="G10" s="25" t="n"/>
      <c r="H10" s="4" t="n"/>
      <c r="I10" s="29" t="str">
        <f>"Average package: "&amp;TEXT(IFERROR(AVERAGEIFS(tblPlacements[Package LPA],tblPlacements[Branch],cOv_B,tblPlacements[Year],cOv_Y,tblPlacements[Status],"Placed"),0),"0.0")&amp;" LPA"</f>
        <v>Average package: 9.6 LPA</v>
      </c>
      <c r="K10" s="25" t="n"/>
      <c r="L10" s="29" t="str">
        <f>"Course pass rate: "&amp;TEXT(IFERROR(SUMIFS(tblCourses[Passed],tblCourses[Branch],cOv_B,tblCourses[Year],cOv_Y)/SUMIFS(tblCourses[Enrolled],tblCourses[Branch],cOv_B,tblCourses[Year],cOv_Y),0),"0.0%")</f>
        <v>Course pass rate: 89.7%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30" t="inlineStr">
        <is>
          <t>BRANCH LEADERBOARD  (composite = average of pass, attendance &amp; placement rates)</t>
        </is>
      </c>
      <c r="C42" s="1" t="n"/>
      <c r="D42" s="1" t="n"/>
      <c r="E42" s="1" t="n"/>
      <c r="F42" s="1" t="n"/>
      <c r="G42" s="1" t="n"/>
      <c r="H42" s="4" t="n"/>
      <c r="I42" s="30" t="inlineStr">
        <is>
          <t>MODULE SCORECARD  (current filter selection)</t>
        </is>
      </c>
      <c r="J42" s="1" t="n"/>
      <c r="K42" s="1" t="n"/>
      <c r="L42" s="1" t="n"/>
      <c r="M42" s="1" t="n"/>
      <c r="N42" s="1" t="n"/>
      <c r="O42" s="4" t="n"/>
    </row>
    <row r="43" ht="24" customHeight="1">
      <c r="A43" s="4" t="n"/>
      <c r="B43" s="31" t="inlineStr">
        <is>
          <t>#</t>
        </is>
      </c>
      <c r="C43" s="31" t="inlineStr">
        <is>
          <t>Branch</t>
        </is>
      </c>
      <c r="D43" s="31" t="inlineStr">
        <is>
          <t>Composite</t>
        </is>
      </c>
      <c r="E43" s="31" t="inlineStr">
        <is>
          <t>Pass Rate</t>
        </is>
      </c>
      <c r="F43" s="31" t="inlineStr">
        <is>
          <t>Attendance</t>
        </is>
      </c>
      <c r="G43" s="31" t="inlineStr">
        <is>
          <t>Placement</t>
        </is>
      </c>
      <c r="H43" s="4" t="n"/>
      <c r="I43" s="31" t="inlineStr">
        <is>
          <t>#</t>
        </is>
      </c>
      <c r="J43" s="31" t="inlineStr">
        <is>
          <t>Module</t>
        </is>
      </c>
      <c r="K43" s="31" t="inlineStr">
        <is>
          <t>Headline metric</t>
        </is>
      </c>
      <c r="L43" s="32" t="n"/>
      <c r="M43" s="31" t="inlineStr">
        <is>
          <t>Value</t>
        </is>
      </c>
      <c r="N43" s="31" t="inlineStr">
        <is>
          <t>Open</t>
        </is>
      </c>
      <c r="O43" s="4" t="n"/>
    </row>
    <row r="44">
      <c r="A44" s="4" t="n"/>
      <c r="B44" s="33" t="n">
        <v>1</v>
      </c>
      <c r="C44" s="34" t="str">
        <f>INDEX(Calc!$A$164:$A$168,MATCH(LARGE(Calc!$I$164:$I$168,$B44),Calc!$I$164:$I$168,0))</f>
        <v>IT</v>
      </c>
      <c r="D44" s="35">
        <f>INDEX(Calc!$H$164:$H$168,MATCH(LARGE(Calc!$I$164:$I$168,$B44),Calc!$I$164:$I$168,0))</f>
        <v>0.878045008784398</v>
      </c>
      <c r="E44" s="36">
        <f>INDEX(Calc!$C$164:$C$168,MATCH(LARGE(Calc!$I$164:$I$168,$B44),Calc!$I$164:$I$168,0))</f>
        <v>0.921052631578947</v>
      </c>
      <c r="F44" s="36">
        <f>INDEX(Calc!$D$164:$D$168,MATCH(LARGE(Calc!$I$164:$I$168,$B44),Calc!$I$164:$I$168,0))</f>
        <v>0.842114652838763</v>
      </c>
      <c r="G44" s="36">
        <f>INDEX(Calc!$E$164:$E$168,MATCH(LARGE(Calc!$I$164:$I$168,$B44),Calc!$I$164:$I$168,0))</f>
        <v>0.870967741935484</v>
      </c>
      <c r="H44" s="4" t="n"/>
      <c r="I44" s="33" t="n">
        <v>1</v>
      </c>
      <c r="J44" s="37" t="inlineStr">
        <is>
          <t>Student Performance</t>
        </is>
      </c>
      <c r="K44" s="38" t="inlineStr">
        <is>
          <t>Pass rate</t>
        </is>
      </c>
      <c r="L44" s="39" t="n"/>
      <c r="M44" s="40">
        <f>IFERROR(COUNTIFS(tblStudents[Branch],cOv_B,tblStudents[Year],cOv_Y,tblStudents[Result],"Pass")/COUNTIFS(tblStudents[Branch],cOv_B,tblStudents[Year],cOv_Y),0)</f>
        <v>0.891666666666667</v>
      </c>
      <c r="N44" s="41" t="inlineStr">
        <is>
          <t>Open »</t>
        </is>
      </c>
      <c r="O44" s="4" t="n"/>
    </row>
    <row r="45">
      <c r="A45" s="4" t="n"/>
      <c r="B45" s="42" t="n">
        <v>2</v>
      </c>
      <c r="C45" s="43" t="str">
        <f>INDEX(Calc!$A$164:$A$168,MATCH(LARGE(Calc!$I$164:$I$168,$B45),Calc!$I$164:$I$168,0))</f>
        <v>CSE</v>
      </c>
      <c r="D45" s="44">
        <f>INDEX(Calc!$H$164:$H$168,MATCH(LARGE(Calc!$I$164:$I$168,$B45),Calc!$I$164:$I$168,0))</f>
        <v>0.862250221699</v>
      </c>
      <c r="E45" s="45">
        <f>INDEX(Calc!$C$164:$C$168,MATCH(LARGE(Calc!$I$164:$I$168,$B45),Calc!$I$164:$I$168,0))</f>
        <v>0.903225806451613</v>
      </c>
      <c r="F45" s="45">
        <f>INDEX(Calc!$D$164:$D$168,MATCH(LARGE(Calc!$I$164:$I$168,$B45),Calc!$I$164:$I$168,0))</f>
        <v>0.854256565962461</v>
      </c>
      <c r="G45" s="45">
        <f>INDEX(Calc!$E$164:$E$168,MATCH(LARGE(Calc!$I$164:$I$168,$B45),Calc!$I$164:$I$168,0))</f>
        <v>0.829268292682927</v>
      </c>
      <c r="H45" s="4" t="n"/>
      <c r="I45" s="42" t="n">
        <v>2</v>
      </c>
      <c r="J45" s="46" t="inlineStr">
        <is>
          <t>Attendance</t>
        </is>
      </c>
      <c r="K45" s="47" t="inlineStr">
        <is>
          <t>Average attendance</t>
        </is>
      </c>
      <c r="L45" s="48" t="n"/>
      <c r="M45" s="49">
        <f>IFERROR(AVERAGEIFS(tblAttendance[Attendance %],tblAttendance[Branch],cOv_B,tblAttendance[Year],cOv_Y),0)</f>
        <v>0.834516804881111</v>
      </c>
      <c r="N45" s="50" t="inlineStr">
        <is>
          <t>Open »</t>
        </is>
      </c>
      <c r="O45" s="4" t="n"/>
    </row>
    <row r="46">
      <c r="A46" s="4" t="n"/>
      <c r="B46" s="33" t="n">
        <v>3</v>
      </c>
      <c r="C46" s="34" t="str">
        <f>INDEX(Calc!$A$164:$A$168,MATCH(LARGE(Calc!$I$164:$I$168,$B46),Calc!$I$164:$I$168,0))</f>
        <v>ECE</v>
      </c>
      <c r="D46" s="35">
        <f>INDEX(Calc!$H$164:$H$168,MATCH(LARGE(Calc!$I$164:$I$168,$B46),Calc!$I$164:$I$168,0))</f>
        <v>0.828258635571146</v>
      </c>
      <c r="E46" s="36">
        <f>INDEX(Calc!$C$164:$C$168,MATCH(LARGE(Calc!$I$164:$I$168,$B46),Calc!$I$164:$I$168,0))</f>
        <v>0.907407407407407</v>
      </c>
      <c r="F46" s="36">
        <f>INDEX(Calc!$D$164:$D$168,MATCH(LARGE(Calc!$I$164:$I$168,$B46),Calc!$I$164:$I$168,0))</f>
        <v>0.840526394042872</v>
      </c>
      <c r="G46" s="36">
        <f>INDEX(Calc!$E$164:$E$168,MATCH(LARGE(Calc!$I$164:$I$168,$B46),Calc!$I$164:$I$168,0))</f>
        <v>0.736842105263158</v>
      </c>
      <c r="H46" s="4" t="n"/>
      <c r="I46" s="33" t="n">
        <v>3</v>
      </c>
      <c r="J46" s="37" t="inlineStr">
        <is>
          <t>Faculty Performance</t>
        </is>
      </c>
      <c r="K46" s="38" t="inlineStr">
        <is>
          <t>Avg performance score</t>
        </is>
      </c>
      <c r="L46" s="39" t="n"/>
      <c r="M46" s="51">
        <f>IFERROR(AVERAGEIFS(tblFaculty[Performance Score],tblFaculty[Department],cOv_B,tblFaculty[Year],cOv_Y),0)</f>
        <v>76.45</v>
      </c>
      <c r="N46" s="41" t="inlineStr">
        <is>
          <t>Open »</t>
        </is>
      </c>
      <c r="O46" s="4" t="n"/>
    </row>
    <row r="47">
      <c r="A47" s="4" t="n"/>
      <c r="B47" s="42" t="n">
        <v>4</v>
      </c>
      <c r="C47" s="43" t="str">
        <f>INDEX(Calc!$A$164:$A$168,MATCH(LARGE(Calc!$I$164:$I$168,$B47),Calc!$I$164:$I$168,0))</f>
        <v>CE</v>
      </c>
      <c r="D47" s="44">
        <f>INDEX(Calc!$H$164:$H$168,MATCH(LARGE(Calc!$I$164:$I$168,$B47),Calc!$I$164:$I$168,0))</f>
        <v>0.767731354139087</v>
      </c>
      <c r="E47" s="45">
        <f>INDEX(Calc!$C$164:$C$168,MATCH(LARGE(Calc!$I$164:$I$168,$B47),Calc!$I$164:$I$168,0))</f>
        <v>0.918918918918919</v>
      </c>
      <c r="F47" s="45">
        <f>INDEX(Calc!$D$164:$D$168,MATCH(LARGE(Calc!$I$164:$I$168,$B47),Calc!$I$164:$I$168,0))</f>
        <v>0.828719587942786</v>
      </c>
      <c r="G47" s="45">
        <f>INDEX(Calc!$E$164:$E$168,MATCH(LARGE(Calc!$I$164:$I$168,$B47),Calc!$I$164:$I$168,0))</f>
        <v>0.555555555555556</v>
      </c>
      <c r="H47" s="4" t="n"/>
      <c r="I47" s="42" t="n">
        <v>4</v>
      </c>
      <c r="J47" s="46" t="inlineStr">
        <is>
          <t>Placement</t>
        </is>
      </c>
      <c r="K47" s="47" t="inlineStr">
        <is>
          <t>Placement rate</t>
        </is>
      </c>
      <c r="L47" s="48" t="n"/>
      <c r="M47" s="49">
        <f>IFERROR(COUNTIFS(tblPlacements[Branch],cOv_B,tblPlacements[Year],cOv_Y,tblPlacements[Status],"Placed")/COUNTIFS(tblPlacements[Branch],cOv_B,tblPlacements[Year],cOv_Y),0)</f>
        <v>0.76</v>
      </c>
      <c r="N47" s="50" t="inlineStr">
        <is>
          <t>Open »</t>
        </is>
      </c>
      <c r="O47" s="4" t="n"/>
    </row>
    <row r="48">
      <c r="A48" s="4" t="n"/>
      <c r="B48" s="33" t="n">
        <v>5</v>
      </c>
      <c r="C48" s="34" t="str">
        <f>INDEX(Calc!$A$164:$A$168,MATCH(LARGE(Calc!$I$164:$I$168,$B48),Calc!$I$164:$I$168,0))</f>
        <v>ME</v>
      </c>
      <c r="D48" s="35">
        <f>INDEX(Calc!$H$164:$H$168,MATCH(LARGE(Calc!$I$164:$I$168,$B48),Calc!$I$164:$I$168,0))</f>
        <v>0.766515715311659</v>
      </c>
      <c r="E48" s="36">
        <f>INDEX(Calc!$C$164:$C$168,MATCH(LARGE(Calc!$I$164:$I$168,$B48),Calc!$I$164:$I$168,0))</f>
        <v>0.816326530612245</v>
      </c>
      <c r="F48" s="36">
        <f>INDEX(Calc!$D$164:$D$168,MATCH(LARGE(Calc!$I$164:$I$168,$B48),Calc!$I$164:$I$168,0))</f>
        <v>0.801402433504551</v>
      </c>
      <c r="G48" s="36">
        <f>INDEX(Calc!$E$164:$E$168,MATCH(LARGE(Calc!$I$164:$I$168,$B48),Calc!$I$164:$I$168,0))</f>
        <v>0.681818181818182</v>
      </c>
      <c r="H48" s="4" t="n"/>
      <c r="I48" s="33" t="n">
        <v>5</v>
      </c>
      <c r="J48" s="37" t="inlineStr">
        <is>
          <t>Course Analytics</t>
        </is>
      </c>
      <c r="K48" s="38" t="inlineStr">
        <is>
          <t>Overall pass rate</t>
        </is>
      </c>
      <c r="L48" s="39" t="n"/>
      <c r="M48" s="40">
        <f>IFERROR(SUMIFS(tblCourses[Passed],tblCourses[Branch],cOv_B,tblCourses[Year],cOv_Y)/SUMIFS(tblCourses[Enrolled],tblCourses[Branch],cOv_B,tblCourses[Year],cOv_Y),0)</f>
        <v>0.896819787985866</v>
      </c>
      <c r="N48" s="41" t="inlineStr">
        <is>
          <t>Open »</t>
        </is>
      </c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 ht="28" customHeight="1">
      <c r="A50" s="4" t="n"/>
      <c r="B50" s="52" t="inlineStr">
        <is>
          <t>All figures are live formulas over the Excel Tables (tblStudents, tblAttendance, tblFaculty, tblPlacements, tblCourses). Replace the sample data and everything updates. See the Instructions sheet.</t>
        </is>
      </c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8">
    <mergeCell ref="E10:G10"/>
    <mergeCell ref="B42:G42"/>
    <mergeCell ref="B3:C3"/>
    <mergeCell ref="K45:L45"/>
    <mergeCell ref="B10:D10"/>
    <mergeCell ref="L10:N10"/>
    <mergeCell ref="I5:N5"/>
    <mergeCell ref="I42:N42"/>
    <mergeCell ref="K47:L47"/>
    <mergeCell ref="B50:N50"/>
    <mergeCell ref="K44:L44"/>
    <mergeCell ref="E8:G9"/>
    <mergeCell ref="K46:L46"/>
    <mergeCell ref="E7:G7"/>
    <mergeCell ref="B8:D9"/>
    <mergeCell ref="I3:J3"/>
    <mergeCell ref="I10:K10"/>
    <mergeCell ref="K43:L43"/>
    <mergeCell ref="L8:N9"/>
    <mergeCell ref="M3:N3"/>
    <mergeCell ref="B7:D7"/>
    <mergeCell ref="B2:N2"/>
    <mergeCell ref="K48:L48"/>
    <mergeCell ref="L7:N7"/>
    <mergeCell ref="B1:N1"/>
    <mergeCell ref="I8:K9"/>
    <mergeCell ref="I7:K7"/>
    <mergeCell ref="K3:L3"/>
  </mergeCells>
  <conditionalFormatting sqref="E8">
    <cfRule type="cellIs" priority="1" operator="lessThan" dxfId="0">
      <formula>p_AttGood</formula>
    </cfRule>
    <cfRule type="cellIs" priority="2" operator="greaterThanOrEqual" dxfId="1">
      <formula>p_AttGood</formula>
    </cfRule>
  </conditionalFormatting>
  <conditionalFormatting sqref="I8">
    <cfRule type="cellIs" priority="3" operator="lessThan" dxfId="0">
      <formula>0.7</formula>
    </cfRule>
    <cfRule type="cellIs" priority="4" operator="greaterThanOrEqual" dxfId="1">
      <formula>0.7</formula>
    </cfRule>
  </conditionalFormatting>
  <conditionalFormatting sqref="D44:D48">
    <cfRule type="dataBar" priority="5">
      <dataBar>
        <cfvo type="num" val="0"/>
        <cfvo type="num" val="1"/>
        <color rgb="005B9BD5"/>
      </dataBar>
    </cfRule>
  </conditionalFormatting>
  <conditionalFormatting sqref="F44:F48">
    <cfRule type="cellIs" priority="6" operator="lessThan" dxfId="2">
      <formula>p_AttMin</formula>
    </cfRule>
  </conditionalFormatting>
  <conditionalFormatting sqref="E44:E48">
    <cfRule type="cellIs" priority="7" operator="lessThan" dxfId="2">
      <formula>0.85</formula>
    </cfRule>
  </conditionalFormatting>
  <dataValidations count="2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=Lists!$G$4:$G$8</formula1>
    </dataValidation>
  </dataValidations>
  <hyperlinks>
    <hyperlink ref="D3" location="'Student Dashboard'!A1" display="Students"/>
    <hyperlink ref="E3" location="'Attendance Dashboard'!A1" display="Attendance"/>
    <hyperlink ref="F3" location="'Faculty Dashboard'!A1" display="Faculty"/>
    <hyperlink ref="G3" location="'Placement Dashboard'!A1" display="Placements"/>
    <hyperlink ref="I3" location="'Course Dashboard'!A1" display="Courses"/>
    <hyperlink ref="K3" location="'Instructions'!A1" display="Instructions"/>
    <hyperlink ref="M3" location="'Lists'!A1" display="Lists »"/>
    <hyperlink ref="N44" location="'Student Dashboard'!A1" display="Open »"/>
    <hyperlink ref="N45" location="'Attendance Dashboard'!A1" display="Open »"/>
    <hyperlink ref="N46" location="'Faculty Dashboard'!A1" display="Open »"/>
    <hyperlink ref="N47" location="'Placement Dashboard'!A1" display="Open »"/>
    <hyperlink ref="N48" location="'Course Dashboard'!A1" display="Open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Student Performance Analytics</t>
        </is>
      </c>
      <c r="O1" s="1" t="n"/>
    </row>
    <row r="2" ht="18" customHeight="1">
      <c r="A2" s="1" t="n"/>
      <c r="B2" s="3" t="inlineStr">
        <is>
          <t>Results, grades and SGPA across branches and semesters  |  source: tblStudents</t>
        </is>
      </c>
      <c r="O2" s="1" t="n"/>
    </row>
    <row r="3" ht="22" customHeight="1">
      <c r="A3" s="4" t="n"/>
      <c r="B3" s="7" t="inlineStr">
        <is>
          <t>« Overview</t>
        </is>
      </c>
      <c r="C3" s="8" t="n"/>
      <c r="D3" s="5" t="inlineStr">
        <is>
          <t>Students</t>
        </is>
      </c>
      <c r="E3" s="7" t="inlineStr">
        <is>
          <t>Attendance</t>
        </is>
      </c>
      <c r="F3" s="7" t="inlineStr">
        <is>
          <t>Faculty</t>
        </is>
      </c>
      <c r="G3" s="7" t="inlineStr">
        <is>
          <t>Placements</t>
        </is>
      </c>
      <c r="H3" s="4" t="n"/>
      <c r="I3" s="7" t="inlineStr">
        <is>
          <t>Courses</t>
        </is>
      </c>
      <c r="J3" s="8" t="n"/>
      <c r="K3" s="7" t="inlineStr">
        <is>
          <t>Instructions</t>
        </is>
      </c>
      <c r="L3" s="8" t="n"/>
      <c r="M3" s="7" t="inlineStr">
        <is>
          <t>Data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Semester</t>
        </is>
      </c>
      <c r="E5" s="10" t="inlineStr">
        <is>
          <t>All</t>
        </is>
      </c>
      <c r="F5" s="9" t="inlineStr">
        <is>
          <t>Year</t>
        </is>
      </c>
      <c r="G5" s="10" t="inlineStr">
        <is>
          <t>All</t>
        </is>
      </c>
      <c r="H5" s="4" t="n"/>
      <c r="I5" s="11" t="inlineStr">
        <is>
          <t>Choose 'All' to clear a filter. Everything on this page recalculates instantly. Branch-comparison charts ignore the Branch filter.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STUDENTS ASSESSED</t>
        </is>
      </c>
      <c r="C7" s="13" t="n"/>
      <c r="D7" s="14" t="n"/>
      <c r="E7" s="15" t="inlineStr">
        <is>
          <t>PASS PERCENTAGE</t>
        </is>
      </c>
      <c r="F7" s="16" t="n"/>
      <c r="G7" s="17" t="n"/>
      <c r="H7" s="4" t="n"/>
      <c r="I7" s="18" t="inlineStr">
        <is>
          <t>AVERAGE SGPA (PASSED)</t>
        </is>
      </c>
      <c r="J7" s="19" t="n"/>
      <c r="K7" s="20" t="n"/>
      <c r="L7" s="21" t="inlineStr">
        <is>
          <t>DISTINCTION RATE</t>
        </is>
      </c>
      <c r="M7" s="22" t="n"/>
      <c r="N7" s="23" t="n"/>
      <c r="O7" s="4" t="n"/>
    </row>
    <row r="8" ht="22" customHeight="1">
      <c r="A8" s="4" t="n"/>
      <c r="B8" s="24">
        <f>COUNTIFS(tblStudents[Branch],cSt_B,tblStudents[Semester],cSt_S,tblStudents[Year],cSt_Y)</f>
        <v>240</v>
      </c>
      <c r="D8" s="25" t="n"/>
      <c r="E8" s="26">
        <f>IFERROR(COUNTIFS(tblStudents[Branch],cSt_B,tblStudents[Semester],cSt_S,tblStudents[Year],cSt_Y,tblStudents[Result],"Pass")/COUNTIFS(tblStudents[Branch],cSt_B,tblStudents[Semester],cSt_S,tblStudents[Year],cSt_Y),0)</f>
        <v>0.891666666666667</v>
      </c>
      <c r="G8" s="25" t="n"/>
      <c r="H8" s="4" t="n"/>
      <c r="I8" s="53">
        <f>IFERROR(AVERAGEIFS(tblStudents[SGPA],tblStudents[Branch],cSt_B,tblStudents[Semester],cSt_S,tblStudents[Year],cSt_Y,tblStudents[Result],"Pass"),0)</f>
        <v>7.35186915887851</v>
      </c>
      <c r="K8" s="25" t="n"/>
      <c r="L8" s="26">
        <f>IFERROR(COUNTIFS(tblStudents[Branch],cSt_B,tblStudents[Semester],cSt_S,tblStudents[Year],cSt_Y,tblStudents[SGPA],"&gt;="&amp;p_Distinction)/COUNTIFS(tblStudents[Branch],cSt_B,tblStudents[Semester],cSt_S,tblStudents[Year],cSt_Y),0)</f>
        <v>0.275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"Records in current selection"</f>
        <v>Records in current selection</v>
      </c>
      <c r="D10" s="25" t="n"/>
      <c r="E10" s="29" t="str">
        <f>"Failed: "&amp;(COUNTIFS(tblStudents[Branch],cSt_B,tblStudents[Semester],cSt_S,tblStudents[Year],cSt_Y)-COUNTIFS(tblStudents[Branch],cSt_B,tblStudents[Semester],cSt_S,tblStudents[Year],cSt_Y,tblStudents[Result],"Pass"))&amp;" students"</f>
        <v>Failed: 26 students</v>
      </c>
      <c r="G10" s="25" t="n"/>
      <c r="H10" s="4" t="n"/>
      <c r="I10" s="29" t="str">
        <f>"Avg total marks: "&amp;TEXT(IFERROR(AVERAGEIFS(tblStudents[Total Marks],tblStudents[Branch],cSt_B,tblStudents[Semester],cSt_S,tblStudents[Year],cSt_Y),0),"0.0")&amp;" / 100"</f>
        <v>Avg total marks: 67.0 / 100</v>
      </c>
      <c r="K10" s="25" t="n"/>
      <c r="L10" s="29" t="str">
        <f>"SGPA of "&amp;TEXT(p_Distinction,"0.0")&amp;" or above"</f>
        <v>SGPA of 8.0 or above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54" t="inlineStr">
        <is>
          <t>▲ TOP 10 STUDENTS - TOTAL MARKS</t>
        </is>
      </c>
      <c r="C42" s="55" t="n"/>
      <c r="D42" s="55" t="n"/>
      <c r="E42" s="55" t="n"/>
      <c r="F42" s="55" t="n"/>
      <c r="G42" s="55" t="n"/>
      <c r="H42" s="4" t="n"/>
      <c r="I42" s="56" t="inlineStr">
        <is>
          <t>▼ BOTTOM 10 STUDENTS - TOTAL MARKS</t>
        </is>
      </c>
      <c r="J42" s="57" t="n"/>
      <c r="K42" s="57" t="n"/>
      <c r="L42" s="57" t="n"/>
      <c r="M42" s="57" t="n"/>
      <c r="N42" s="57" t="n"/>
      <c r="O42" s="4" t="n"/>
    </row>
    <row r="43" ht="24" customHeight="1">
      <c r="A43" s="4" t="n"/>
      <c r="B43" s="58" t="inlineStr">
        <is>
          <t>#</t>
        </is>
      </c>
      <c r="C43" s="58" t="inlineStr">
        <is>
          <t>Student</t>
        </is>
      </c>
      <c r="D43" s="58" t="inlineStr">
        <is>
          <t>Branch</t>
        </is>
      </c>
      <c r="E43" s="58" t="inlineStr">
        <is>
          <t>Sem</t>
        </is>
      </c>
      <c r="F43" s="58" t="inlineStr">
        <is>
          <t>Total</t>
        </is>
      </c>
      <c r="G43" s="58" t="inlineStr">
        <is>
          <t>SGPA</t>
        </is>
      </c>
      <c r="H43" s="4" t="n"/>
      <c r="I43" s="58" t="inlineStr">
        <is>
          <t>#</t>
        </is>
      </c>
      <c r="J43" s="58" t="inlineStr">
        <is>
          <t>Student</t>
        </is>
      </c>
      <c r="K43" s="58" t="inlineStr">
        <is>
          <t>Branch</t>
        </is>
      </c>
      <c r="L43" s="58" t="inlineStr">
        <is>
          <t>Sem</t>
        </is>
      </c>
      <c r="M43" s="58" t="inlineStr">
        <is>
          <t>Total</t>
        </is>
      </c>
      <c r="N43" s="58" t="inlineStr">
        <is>
          <t>SGPA</t>
        </is>
      </c>
      <c r="O43" s="4" t="n"/>
    </row>
    <row r="44">
      <c r="A44" s="4" t="n"/>
      <c r="B44" s="33" t="n">
        <v>1</v>
      </c>
      <c r="C44" s="59" t="str">
        <f>IFERROR(INDEX(tblStudents[Student Name],MATCH(LARGE(tblStudents[Rank Key],$B44),tblStudents[Rank Key],0)),"-")</f>
        <v>Deepak Siddiqui</v>
      </c>
      <c r="D44" s="60" t="str">
        <f>IFERROR(INDEX(tblStudents[Branch],MATCH(LARGE(tblStudents[Rank Key],$B44),tblStudents[Rank Key],0)),"-")</f>
        <v>CE</v>
      </c>
      <c r="E44" s="61">
        <f>IFERROR(INDEX(tblStudents[Semester],MATCH(LARGE(tblStudents[Rank Key],$B44),tblStudents[Rank Key],0)),"-")</f>
        <v>3</v>
      </c>
      <c r="F44" s="61">
        <f>IFERROR(INDEX(tblStudents[Total Marks],MATCH(LARGE(tblStudents[Rank Key],$B44),tblStudents[Rank Key],0)),"-")</f>
        <v>96</v>
      </c>
      <c r="G44" s="62">
        <f>IFERROR(INDEX(tblStudents[SGPA],MATCH(LARGE(tblStudents[Rank Key],$B44),tblStudents[Rank Key],0)),"-")</f>
        <v>10</v>
      </c>
      <c r="H44" s="4" t="n"/>
      <c r="I44" s="33" t="n">
        <v>1</v>
      </c>
      <c r="J44" s="59" t="str">
        <f>IFERROR(INDEX(tblStudents[Student Name],MATCH(SMALL(tblStudents[Rank Key],$I44),tblStudents[Rank Key],0)),"-")</f>
        <v>Ayush Shah</v>
      </c>
      <c r="K44" s="60" t="str">
        <f>IFERROR(INDEX(tblStudents[Branch],MATCH(SMALL(tblStudents[Rank Key],$I44),tblStudents[Rank Key],0)),"-")</f>
        <v>IT</v>
      </c>
      <c r="L44" s="61">
        <f>IFERROR(INDEX(tblStudents[Semester],MATCH(SMALL(tblStudents[Rank Key],$I44),tblStudents[Rank Key],0)),"-")</f>
        <v>1</v>
      </c>
      <c r="M44" s="61">
        <f>IFERROR(INDEX(tblStudents[Total Marks],MATCH(SMALL(tblStudents[Rank Key],$I44),tblStudents[Rank Key],0)),"-")</f>
        <v>34</v>
      </c>
      <c r="N44" s="62">
        <f>IFERROR(INDEX(tblStudents[SGPA],MATCH(SMALL(tblStudents[Rank Key],$I44),tblStudents[Rank Key],0)),"-")</f>
        <v>0</v>
      </c>
      <c r="O44" s="4" t="n"/>
    </row>
    <row r="45">
      <c r="A45" s="4" t="n"/>
      <c r="B45" s="42" t="n">
        <v>2</v>
      </c>
      <c r="C45" s="63" t="str">
        <f>IFERROR(INDEX(tblStudents[Student Name],MATCH(LARGE(tblStudents[Rank Key],$B45),tblStudents[Rank Key],0)),"-")</f>
        <v>Gaurav Srivastava</v>
      </c>
      <c r="D45" s="64" t="str">
        <f>IFERROR(INDEX(tblStudents[Branch],MATCH(LARGE(tblStudents[Rank Key],$B45),tblStudents[Rank Key],0)),"-")</f>
        <v>ECE</v>
      </c>
      <c r="E45" s="65">
        <f>IFERROR(INDEX(tblStudents[Semester],MATCH(LARGE(tblStudents[Rank Key],$B45),tblStudents[Rank Key],0)),"-")</f>
        <v>1</v>
      </c>
      <c r="F45" s="65">
        <f>IFERROR(INDEX(tblStudents[Total Marks],MATCH(LARGE(tblStudents[Rank Key],$B45),tblStudents[Rank Key],0)),"-")</f>
        <v>96</v>
      </c>
      <c r="G45" s="66">
        <f>IFERROR(INDEX(tblStudents[SGPA],MATCH(LARGE(tblStudents[Rank Key],$B45),tblStudents[Rank Key],0)),"-")</f>
        <v>10</v>
      </c>
      <c r="H45" s="4" t="n"/>
      <c r="I45" s="42" t="n">
        <v>2</v>
      </c>
      <c r="J45" s="63" t="str">
        <f>IFERROR(INDEX(tblStudents[Student Name],MATCH(SMALL(tblStudents[Rank Key],$I45),tblStudents[Rank Key],0)),"-")</f>
        <v>Amit Malik</v>
      </c>
      <c r="K45" s="64" t="str">
        <f>IFERROR(INDEX(tblStudents[Branch],MATCH(SMALL(tblStudents[Rank Key],$I45),tblStudents[Rank Key],0)),"-")</f>
        <v>IT</v>
      </c>
      <c r="L45" s="65">
        <f>IFERROR(INDEX(tblStudents[Semester],MATCH(SMALL(tblStudents[Rank Key],$I45),tblStudents[Rank Key],0)),"-")</f>
        <v>4</v>
      </c>
      <c r="M45" s="65">
        <f>IFERROR(INDEX(tblStudents[Total Marks],MATCH(SMALL(tblStudents[Rank Key],$I45),tblStudents[Rank Key],0)),"-")</f>
        <v>36</v>
      </c>
      <c r="N45" s="66">
        <f>IFERROR(INDEX(tblStudents[SGPA],MATCH(SMALL(tblStudents[Rank Key],$I45),tblStudents[Rank Key],0)),"-")</f>
        <v>0</v>
      </c>
      <c r="O45" s="4" t="n"/>
    </row>
    <row r="46">
      <c r="A46" s="4" t="n"/>
      <c r="B46" s="33" t="n">
        <v>3</v>
      </c>
      <c r="C46" s="59" t="str">
        <f>IFERROR(INDEX(tblStudents[Student Name],MATCH(LARGE(tblStudents[Rank Key],$B46),tblStudents[Rank Key],0)),"-")</f>
        <v>Ankit Kapoor</v>
      </c>
      <c r="D46" s="60" t="str">
        <f>IFERROR(INDEX(tblStudents[Branch],MATCH(LARGE(tblStudents[Rank Key],$B46),tblStudents[Rank Key],0)),"-")</f>
        <v>CSE</v>
      </c>
      <c r="E46" s="61">
        <f>IFERROR(INDEX(tblStudents[Semester],MATCH(LARGE(tblStudents[Rank Key],$B46),tblStudents[Rank Key],0)),"-")</f>
        <v>5</v>
      </c>
      <c r="F46" s="61">
        <f>IFERROR(INDEX(tblStudents[Total Marks],MATCH(LARGE(tblStudents[Rank Key],$B46),tblStudents[Rank Key],0)),"-")</f>
        <v>96</v>
      </c>
      <c r="G46" s="62">
        <f>IFERROR(INDEX(tblStudents[SGPA],MATCH(LARGE(tblStudents[Rank Key],$B46),tblStudents[Rank Key],0)),"-")</f>
        <v>10</v>
      </c>
      <c r="H46" s="4" t="n"/>
      <c r="I46" s="33" t="n">
        <v>3</v>
      </c>
      <c r="J46" s="59" t="str">
        <f>IFERROR(INDEX(tblStudents[Student Name],MATCH(SMALL(tblStudents[Rank Key],$I46),tblStudents[Rank Key],0)),"-")</f>
        <v>Diya Rawat</v>
      </c>
      <c r="K46" s="60" t="str">
        <f>IFERROR(INDEX(tblStudents[Branch],MATCH(SMALL(tblStudents[Rank Key],$I46),tblStudents[Rank Key],0)),"-")</f>
        <v>ME</v>
      </c>
      <c r="L46" s="61">
        <f>IFERROR(INDEX(tblStudents[Semester],MATCH(SMALL(tblStudents[Rank Key],$I46),tblStudents[Rank Key],0)),"-")</f>
        <v>3</v>
      </c>
      <c r="M46" s="61">
        <f>IFERROR(INDEX(tblStudents[Total Marks],MATCH(SMALL(tblStudents[Rank Key],$I46),tblStudents[Rank Key],0)),"-")</f>
        <v>38</v>
      </c>
      <c r="N46" s="62">
        <f>IFERROR(INDEX(tblStudents[SGPA],MATCH(SMALL(tblStudents[Rank Key],$I46),tblStudents[Rank Key],0)),"-")</f>
        <v>0</v>
      </c>
      <c r="O46" s="4" t="n"/>
    </row>
    <row r="47">
      <c r="A47" s="4" t="n"/>
      <c r="B47" s="42" t="n">
        <v>4</v>
      </c>
      <c r="C47" s="63" t="str">
        <f>IFERROR(INDEX(tblStudents[Student Name],MATCH(LARGE(tblStudents[Rank Key],$B47),tblStudents[Rank Key],0)),"-")</f>
        <v>Rahul Kumar</v>
      </c>
      <c r="D47" s="64" t="str">
        <f>IFERROR(INDEX(tblStudents[Branch],MATCH(LARGE(tblStudents[Rank Key],$B47),tblStudents[Rank Key],0)),"-")</f>
        <v>IT</v>
      </c>
      <c r="E47" s="65">
        <f>IFERROR(INDEX(tblStudents[Semester],MATCH(LARGE(tblStudents[Rank Key],$B47),tblStudents[Rank Key],0)),"-")</f>
        <v>7</v>
      </c>
      <c r="F47" s="65">
        <f>IFERROR(INDEX(tblStudents[Total Marks],MATCH(LARGE(tblStudents[Rank Key],$B47),tblStudents[Rank Key],0)),"-")</f>
        <v>95</v>
      </c>
      <c r="G47" s="66">
        <f>IFERROR(INDEX(tblStudents[SGPA],MATCH(LARGE(tblStudents[Rank Key],$B47),tblStudents[Rank Key],0)),"-")</f>
        <v>10</v>
      </c>
      <c r="H47" s="4" t="n"/>
      <c r="I47" s="42" t="n">
        <v>4</v>
      </c>
      <c r="J47" s="63" t="str">
        <f>IFERROR(INDEX(tblStudents[Student Name],MATCH(SMALL(tblStudents[Rank Key],$I47),tblStudents[Rank Key],0)),"-")</f>
        <v>Devansh Singh</v>
      </c>
      <c r="K47" s="64" t="str">
        <f>IFERROR(INDEX(tblStudents[Branch],MATCH(SMALL(tblStudents[Rank Key],$I47),tblStudents[Rank Key],0)),"-")</f>
        <v>ME</v>
      </c>
      <c r="L47" s="65">
        <f>IFERROR(INDEX(tblStudents[Semester],MATCH(SMALL(tblStudents[Rank Key],$I47),tblStudents[Rank Key],0)),"-")</f>
        <v>4</v>
      </c>
      <c r="M47" s="65">
        <f>IFERROR(INDEX(tblStudents[Total Marks],MATCH(SMALL(tblStudents[Rank Key],$I47),tblStudents[Rank Key],0)),"-")</f>
        <v>38</v>
      </c>
      <c r="N47" s="66">
        <f>IFERROR(INDEX(tblStudents[SGPA],MATCH(SMALL(tblStudents[Rank Key],$I47),tblStudents[Rank Key],0)),"-")</f>
        <v>0</v>
      </c>
      <c r="O47" s="4" t="n"/>
    </row>
    <row r="48">
      <c r="A48" s="4" t="n"/>
      <c r="B48" s="33" t="n">
        <v>5</v>
      </c>
      <c r="C48" s="59" t="str">
        <f>IFERROR(INDEX(tblStudents[Student Name],MATCH(LARGE(tblStudents[Rank Key],$B48),tblStudents[Rank Key],0)),"-")</f>
        <v>Aarushi Iyer</v>
      </c>
      <c r="D48" s="60" t="str">
        <f>IFERROR(INDEX(tblStudents[Branch],MATCH(LARGE(tblStudents[Rank Key],$B48),tblStudents[Rank Key],0)),"-")</f>
        <v>ECE</v>
      </c>
      <c r="E48" s="61">
        <f>IFERROR(INDEX(tblStudents[Semester],MATCH(LARGE(tblStudents[Rank Key],$B48),tblStudents[Rank Key],0)),"-")</f>
        <v>3</v>
      </c>
      <c r="F48" s="61">
        <f>IFERROR(INDEX(tblStudents[Total Marks],MATCH(LARGE(tblStudents[Rank Key],$B48),tblStudents[Rank Key],0)),"-")</f>
        <v>94</v>
      </c>
      <c r="G48" s="62">
        <f>IFERROR(INDEX(tblStudents[SGPA],MATCH(LARGE(tblStudents[Rank Key],$B48),tblStudents[Rank Key],0)),"-")</f>
        <v>9.89</v>
      </c>
      <c r="H48" s="4" t="n"/>
      <c r="I48" s="33" t="n">
        <v>5</v>
      </c>
      <c r="J48" s="59" t="str">
        <f>IFERROR(INDEX(tblStudents[Student Name],MATCH(SMALL(tblStudents[Rank Key],$I48),tblStudents[Rank Key],0)),"-")</f>
        <v>Tanvi Rastogi</v>
      </c>
      <c r="K48" s="60" t="str">
        <f>IFERROR(INDEX(tblStudents[Branch],MATCH(SMALL(tblStudents[Rank Key],$I48),tblStudents[Rank Key],0)),"-")</f>
        <v>CE</v>
      </c>
      <c r="L48" s="61">
        <f>IFERROR(INDEX(tblStudents[Semester],MATCH(SMALL(tblStudents[Rank Key],$I48),tblStudents[Rank Key],0)),"-")</f>
        <v>7</v>
      </c>
      <c r="M48" s="61">
        <f>IFERROR(INDEX(tblStudents[Total Marks],MATCH(SMALL(tblStudents[Rank Key],$I48),tblStudents[Rank Key],0)),"-")</f>
        <v>38</v>
      </c>
      <c r="N48" s="62">
        <f>IFERROR(INDEX(tblStudents[SGPA],MATCH(SMALL(tblStudents[Rank Key],$I48),tblStudents[Rank Key],0)),"-")</f>
        <v>0</v>
      </c>
      <c r="O48" s="4" t="n"/>
    </row>
    <row r="49">
      <c r="A49" s="4" t="n"/>
      <c r="B49" s="42" t="n">
        <v>6</v>
      </c>
      <c r="C49" s="63" t="str">
        <f>IFERROR(INDEX(tblStudents[Student Name],MATCH(LARGE(tblStudents[Rank Key],$B49),tblStudents[Rank Key],0)),"-")</f>
        <v>Sneha Bansal</v>
      </c>
      <c r="D49" s="64" t="str">
        <f>IFERROR(INDEX(tblStudents[Branch],MATCH(LARGE(tblStudents[Rank Key],$B49),tblStudents[Rank Key],0)),"-")</f>
        <v>CE</v>
      </c>
      <c r="E49" s="65">
        <f>IFERROR(INDEX(tblStudents[Semester],MATCH(LARGE(tblStudents[Rank Key],$B49),tblStudents[Rank Key],0)),"-")</f>
        <v>4</v>
      </c>
      <c r="F49" s="65">
        <f>IFERROR(INDEX(tblStudents[Total Marks],MATCH(LARGE(tblStudents[Rank Key],$B49),tblStudents[Rank Key],0)),"-")</f>
        <v>94</v>
      </c>
      <c r="G49" s="66">
        <f>IFERROR(INDEX(tblStudents[SGPA],MATCH(LARGE(tblStudents[Rank Key],$B49),tblStudents[Rank Key],0)),"-")</f>
        <v>9.89</v>
      </c>
      <c r="H49" s="4" t="n"/>
      <c r="I49" s="42" t="n">
        <v>6</v>
      </c>
      <c r="J49" s="63" t="str">
        <f>IFERROR(INDEX(tblStudents[Student Name],MATCH(SMALL(tblStudents[Rank Key],$I49),tblStudents[Rank Key],0)),"-")</f>
        <v>Rohan Siddiqui</v>
      </c>
      <c r="K49" s="64" t="str">
        <f>IFERROR(INDEX(tblStudents[Branch],MATCH(SMALL(tblStudents[Rank Key],$I49),tblStudents[Rank Key],0)),"-")</f>
        <v>ME</v>
      </c>
      <c r="L49" s="65">
        <f>IFERROR(INDEX(tblStudents[Semester],MATCH(SMALL(tblStudents[Rank Key],$I49),tblStudents[Rank Key],0)),"-")</f>
        <v>1</v>
      </c>
      <c r="M49" s="65">
        <f>IFERROR(INDEX(tblStudents[Total Marks],MATCH(SMALL(tblStudents[Rank Key],$I49),tblStudents[Rank Key],0)),"-")</f>
        <v>38</v>
      </c>
      <c r="N49" s="66">
        <f>IFERROR(INDEX(tblStudents[SGPA],MATCH(SMALL(tblStudents[Rank Key],$I49),tblStudents[Rank Key],0)),"-")</f>
        <v>0</v>
      </c>
      <c r="O49" s="4" t="n"/>
    </row>
    <row r="50">
      <c r="A50" s="4" t="n"/>
      <c r="B50" s="33" t="n">
        <v>7</v>
      </c>
      <c r="C50" s="59" t="str">
        <f>IFERROR(INDEX(tblStudents[Student Name],MATCH(LARGE(tblStudents[Rank Key],$B50),tblStudents[Rank Key],0)),"-")</f>
        <v>Rahul Verma</v>
      </c>
      <c r="D50" s="60" t="str">
        <f>IFERROR(INDEX(tblStudents[Branch],MATCH(LARGE(tblStudents[Rank Key],$B50),tblStudents[Rank Key],0)),"-")</f>
        <v>ECE</v>
      </c>
      <c r="E50" s="61">
        <f>IFERROR(INDEX(tblStudents[Semester],MATCH(LARGE(tblStudents[Rank Key],$B50),tblStudents[Rank Key],0)),"-")</f>
        <v>7</v>
      </c>
      <c r="F50" s="61">
        <f>IFERROR(INDEX(tblStudents[Total Marks],MATCH(LARGE(tblStudents[Rank Key],$B50),tblStudents[Rank Key],0)),"-")</f>
        <v>94</v>
      </c>
      <c r="G50" s="62">
        <f>IFERROR(INDEX(tblStudents[SGPA],MATCH(LARGE(tblStudents[Rank Key],$B50),tblStudents[Rank Key],0)),"-")</f>
        <v>9.89</v>
      </c>
      <c r="H50" s="4" t="n"/>
      <c r="I50" s="33" t="n">
        <v>7</v>
      </c>
      <c r="J50" s="59" t="str">
        <f>IFERROR(INDEX(tblStudents[Student Name],MATCH(SMALL(tblStudents[Rank Key],$I50),tblStudents[Rank Key],0)),"-")</f>
        <v>Kartik Singh</v>
      </c>
      <c r="K50" s="60" t="str">
        <f>IFERROR(INDEX(tblStudents[Branch],MATCH(SMALL(tblStudents[Rank Key],$I50),tblStudents[Rank Key],0)),"-")</f>
        <v>CE</v>
      </c>
      <c r="L50" s="61">
        <f>IFERROR(INDEX(tblStudents[Semester],MATCH(SMALL(tblStudents[Rank Key],$I50),tblStudents[Rank Key],0)),"-")</f>
        <v>6</v>
      </c>
      <c r="M50" s="61">
        <f>IFERROR(INDEX(tblStudents[Total Marks],MATCH(SMALL(tblStudents[Rank Key],$I50),tblStudents[Rank Key],0)),"-")</f>
        <v>39</v>
      </c>
      <c r="N50" s="62">
        <f>IFERROR(INDEX(tblStudents[SGPA],MATCH(SMALL(tblStudents[Rank Key],$I50),tblStudents[Rank Key],0)),"-")</f>
        <v>0</v>
      </c>
      <c r="O50" s="4" t="n"/>
    </row>
    <row r="51">
      <c r="A51" s="4" t="n"/>
      <c r="B51" s="42" t="n">
        <v>8</v>
      </c>
      <c r="C51" s="63" t="str">
        <f>IFERROR(INDEX(tblStudents[Student Name],MATCH(LARGE(tblStudents[Rank Key],$B51),tblStudents[Rank Key],0)),"-")</f>
        <v>Garima Kumar</v>
      </c>
      <c r="D51" s="64" t="str">
        <f>IFERROR(INDEX(tblStudents[Branch],MATCH(LARGE(tblStudents[Rank Key],$B51),tblStudents[Rank Key],0)),"-")</f>
        <v>IT</v>
      </c>
      <c r="E51" s="65">
        <f>IFERROR(INDEX(tblStudents[Semester],MATCH(LARGE(tblStudents[Rank Key],$B51),tblStudents[Rank Key],0)),"-")</f>
        <v>1</v>
      </c>
      <c r="F51" s="65">
        <f>IFERROR(INDEX(tblStudents[Total Marks],MATCH(LARGE(tblStudents[Rank Key],$B51),tblStudents[Rank Key],0)),"-")</f>
        <v>93</v>
      </c>
      <c r="G51" s="66">
        <f>IFERROR(INDEX(tblStudents[SGPA],MATCH(LARGE(tblStudents[Rank Key],$B51),tblStudents[Rank Key],0)),"-")</f>
        <v>9.79</v>
      </c>
      <c r="H51" s="4" t="n"/>
      <c r="I51" s="42" t="n">
        <v>8</v>
      </c>
      <c r="J51" s="63" t="str">
        <f>IFERROR(INDEX(tblStudents[Student Name],MATCH(SMALL(tblStudents[Rank Key],$I51),tblStudents[Rank Key],0)),"-")</f>
        <v>Vaishnavi Ansari</v>
      </c>
      <c r="K51" s="64" t="str">
        <f>IFERROR(INDEX(tblStudents[Branch],MATCH(SMALL(tblStudents[Rank Key],$I51),tblStudents[Rank Key],0)),"-")</f>
        <v>IT</v>
      </c>
      <c r="L51" s="65">
        <f>IFERROR(INDEX(tblStudents[Semester],MATCH(SMALL(tblStudents[Rank Key],$I51),tblStudents[Rank Key],0)),"-")</f>
        <v>6</v>
      </c>
      <c r="M51" s="65">
        <f>IFERROR(INDEX(tblStudents[Total Marks],MATCH(SMALL(tblStudents[Rank Key],$I51),tblStudents[Rank Key],0)),"-")</f>
        <v>40</v>
      </c>
      <c r="N51" s="66">
        <f>IFERROR(INDEX(tblStudents[SGPA],MATCH(SMALL(tblStudents[Rank Key],$I51),tblStudents[Rank Key],0)),"-")</f>
        <v>0</v>
      </c>
      <c r="O51" s="4" t="n"/>
    </row>
    <row r="52">
      <c r="A52" s="4" t="n"/>
      <c r="B52" s="33" t="n">
        <v>9</v>
      </c>
      <c r="C52" s="59" t="str">
        <f>IFERROR(INDEX(tblStudents[Student Name],MATCH(LARGE(tblStudents[Rank Key],$B52),tblStudents[Rank Key],0)),"-")</f>
        <v>Rajat Gupta</v>
      </c>
      <c r="D52" s="60" t="str">
        <f>IFERROR(INDEX(tblStudents[Branch],MATCH(LARGE(tblStudents[Rank Key],$B52),tblStudents[Rank Key],0)),"-")</f>
        <v>CE</v>
      </c>
      <c r="E52" s="61">
        <f>IFERROR(INDEX(tblStudents[Semester],MATCH(LARGE(tblStudents[Rank Key],$B52),tblStudents[Rank Key],0)),"-")</f>
        <v>5</v>
      </c>
      <c r="F52" s="61">
        <f>IFERROR(INDEX(tblStudents[Total Marks],MATCH(LARGE(tblStudents[Rank Key],$B52),tblStudents[Rank Key],0)),"-")</f>
        <v>93</v>
      </c>
      <c r="G52" s="62">
        <f>IFERROR(INDEX(tblStudents[SGPA],MATCH(LARGE(tblStudents[Rank Key],$B52),tblStudents[Rank Key],0)),"-")</f>
        <v>9.79</v>
      </c>
      <c r="H52" s="4" t="n"/>
      <c r="I52" s="33" t="n">
        <v>9</v>
      </c>
      <c r="J52" s="59" t="str">
        <f>IFERROR(INDEX(tblStudents[Student Name],MATCH(SMALL(tblStudents[Rank Key],$I52),tblStudents[Rank Key],0)),"-")</f>
        <v>Saurabh Dubey</v>
      </c>
      <c r="K52" s="60" t="str">
        <f>IFERROR(INDEX(tblStudents[Branch],MATCH(SMALL(tblStudents[Rank Key],$I52),tblStudents[Rank Key],0)),"-")</f>
        <v>ME</v>
      </c>
      <c r="L52" s="61">
        <f>IFERROR(INDEX(tblStudents[Semester],MATCH(SMALL(tblStudents[Rank Key],$I52),tblStudents[Rank Key],0)),"-")</f>
        <v>2</v>
      </c>
      <c r="M52" s="61">
        <f>IFERROR(INDEX(tblStudents[Total Marks],MATCH(SMALL(tblStudents[Rank Key],$I52),tblStudents[Rank Key],0)),"-")</f>
        <v>41</v>
      </c>
      <c r="N52" s="62">
        <f>IFERROR(INDEX(tblStudents[SGPA],MATCH(SMALL(tblStudents[Rank Key],$I52),tblStudents[Rank Key],0)),"-")</f>
        <v>0</v>
      </c>
      <c r="O52" s="4" t="n"/>
    </row>
    <row r="53">
      <c r="A53" s="4" t="n"/>
      <c r="B53" s="42" t="n">
        <v>10</v>
      </c>
      <c r="C53" s="63" t="str">
        <f>IFERROR(INDEX(tblStudents[Student Name],MATCH(LARGE(tblStudents[Rank Key],$B53),tblStudents[Rank Key],0)),"-")</f>
        <v>Kartik Rastogi</v>
      </c>
      <c r="D53" s="64" t="str">
        <f>IFERROR(INDEX(tblStudents[Branch],MATCH(LARGE(tblStudents[Rank Key],$B53),tblStudents[Rank Key],0)),"-")</f>
        <v>CSE</v>
      </c>
      <c r="E53" s="65">
        <f>IFERROR(INDEX(tblStudents[Semester],MATCH(LARGE(tblStudents[Rank Key],$B53),tblStudents[Rank Key],0)),"-")</f>
        <v>1</v>
      </c>
      <c r="F53" s="65">
        <f>IFERROR(INDEX(tblStudents[Total Marks],MATCH(LARGE(tblStudents[Rank Key],$B53),tblStudents[Rank Key],0)),"-")</f>
        <v>92</v>
      </c>
      <c r="G53" s="66">
        <f>IFERROR(INDEX(tblStudents[SGPA],MATCH(LARGE(tblStudents[Rank Key],$B53),tblStudents[Rank Key],0)),"-")</f>
        <v>9.68</v>
      </c>
      <c r="H53" s="4" t="n"/>
      <c r="I53" s="42" t="n">
        <v>10</v>
      </c>
      <c r="J53" s="63" t="str">
        <f>IFERROR(INDEX(tblStudents[Student Name],MATCH(SMALL(tblStudents[Rank Key],$I53),tblStudents[Rank Key],0)),"-")</f>
        <v>Karan Iyer</v>
      </c>
      <c r="K53" s="64" t="str">
        <f>IFERROR(INDEX(tblStudents[Branch],MATCH(SMALL(tblStudents[Rank Key],$I53),tblStudents[Rank Key],0)),"-")</f>
        <v>ECE</v>
      </c>
      <c r="L53" s="65">
        <f>IFERROR(INDEX(tblStudents[Semester],MATCH(SMALL(tblStudents[Rank Key],$I53),tblStudents[Rank Key],0)),"-")</f>
        <v>6</v>
      </c>
      <c r="M53" s="65">
        <f>IFERROR(INDEX(tblStudents[Total Marks],MATCH(SMALL(tblStudents[Rank Key],$I53),tblStudents[Rank Key],0)),"-")</f>
        <v>41</v>
      </c>
      <c r="N53" s="66">
        <f>IFERROR(INDEX(tblStudents[SGPA],MATCH(SMALL(tblStudents[Rank Key],$I53),tblStudents[Rank Key],0)),"-")</f>
        <v>0</v>
      </c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 ht="28" customHeight="1">
      <c r="A55" s="4" t="n"/>
      <c r="B55" s="52" t="inlineStr">
        <is>
          <t>Pass = total ≥ 40 and external ≥ 24 (see Lists). SGPA = total marks ÷ 9.5, capped at 10 (passed students). Ranks respect the active filters.</t>
        </is>
      </c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2">
    <mergeCell ref="E10:G10"/>
    <mergeCell ref="B42:G42"/>
    <mergeCell ref="B3:C3"/>
    <mergeCell ref="B55:N55"/>
    <mergeCell ref="B10:D10"/>
    <mergeCell ref="L10:N10"/>
    <mergeCell ref="I5:N5"/>
    <mergeCell ref="I42:N42"/>
    <mergeCell ref="E8:G9"/>
    <mergeCell ref="E7:G7"/>
    <mergeCell ref="B8:D9"/>
    <mergeCell ref="I3:J3"/>
    <mergeCell ref="I10:K10"/>
    <mergeCell ref="L8:N9"/>
    <mergeCell ref="M3:N3"/>
    <mergeCell ref="B7:D7"/>
    <mergeCell ref="B2:N2"/>
    <mergeCell ref="L7:N7"/>
    <mergeCell ref="B1:N1"/>
    <mergeCell ref="I8:K9"/>
    <mergeCell ref="I7:K7"/>
    <mergeCell ref="K3:L3"/>
  </mergeCells>
  <conditionalFormatting sqref="E8">
    <cfRule type="cellIs" priority="1" operator="lessThan" dxfId="0">
      <formula>0.85</formula>
    </cfRule>
    <cfRule type="cellIs" priority="2" operator="greaterThanOrEqual" dxfId="1">
      <formula>0.85</formula>
    </cfRule>
  </conditionalFormatting>
  <conditionalFormatting sqref="F44:G53">
    <cfRule type="cellIs" priority="3" operator="notEqual" dxfId="3">
      <formula>"-"</formula>
    </cfRule>
  </conditionalFormatting>
  <conditionalFormatting sqref="M44:N53">
    <cfRule type="cellIs" priority="4" operator="notEqual" dxfId="2">
      <formula>"-"</formula>
    </cfRule>
  </conditionalFormatting>
  <conditionalFormatting sqref="G44:G53">
    <cfRule type="dataBar" priority="5">
      <dataBar>
        <cfvo type="num" val="0"/>
        <cfvo type="num" val="10"/>
        <color rgb="0063BE7B"/>
      </dataBar>
    </cfRule>
  </conditionalFormatting>
  <dataValidations count="3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=Lists!$E$4:$E$12</formula1>
    </dataValidation>
    <dataValidation sqref="G5" showDropDown="0" showInputMessage="0" showErrorMessage="1" allowBlank="0" error="Pick a value from the dropdown" type="list">
      <formula1>=Lists!$G$4:$G$8</formula1>
    </dataValidation>
  </dataValidations>
  <hyperlinks>
    <hyperlink ref="B3" location="'Overview'!A1" display="« Overview"/>
    <hyperlink ref="E3" location="'Attendance Dashboard'!A1" display="Attendance"/>
    <hyperlink ref="F3" location="'Faculty Dashboard'!A1" display="Faculty"/>
    <hyperlink ref="G3" location="'Placement Dashboard'!A1" display="Placements"/>
    <hyperlink ref="I3" location="'Course Dashboard'!A1" display="Courses"/>
    <hyperlink ref="K3" location="'Instructions'!A1" display="Instructions"/>
    <hyperlink ref="M3" location="'Students'!A1" display="Data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Attendance Analytics</t>
        </is>
      </c>
      <c r="O1" s="1" t="n"/>
    </row>
    <row r="2" ht="18" customHeight="1">
      <c r="A2" s="1" t="n"/>
      <c r="B2" s="3" t="inlineStr">
        <is>
          <t>Attendance rates, eligibility shortages and links to marks  |  source: tblAttendance</t>
        </is>
      </c>
      <c r="O2" s="1" t="n"/>
    </row>
    <row r="3" ht="22" customHeight="1">
      <c r="A3" s="4" t="n"/>
      <c r="B3" s="7" t="inlineStr">
        <is>
          <t>« Overview</t>
        </is>
      </c>
      <c r="C3" s="8" t="n"/>
      <c r="D3" s="7" t="inlineStr">
        <is>
          <t>Students</t>
        </is>
      </c>
      <c r="E3" s="5" t="inlineStr">
        <is>
          <t>Attendance</t>
        </is>
      </c>
      <c r="F3" s="7" t="inlineStr">
        <is>
          <t>Faculty</t>
        </is>
      </c>
      <c r="G3" s="7" t="inlineStr">
        <is>
          <t>Placements</t>
        </is>
      </c>
      <c r="H3" s="4" t="n"/>
      <c r="I3" s="7" t="inlineStr">
        <is>
          <t>Courses</t>
        </is>
      </c>
      <c r="J3" s="8" t="n"/>
      <c r="K3" s="7" t="inlineStr">
        <is>
          <t>Instructions</t>
        </is>
      </c>
      <c r="L3" s="8" t="n"/>
      <c r="M3" s="7" t="inlineStr">
        <is>
          <t>Data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Semester</t>
        </is>
      </c>
      <c r="E5" s="10" t="inlineStr">
        <is>
          <t>All</t>
        </is>
      </c>
      <c r="F5" s="9" t="inlineStr">
        <is>
          <t>Year</t>
        </is>
      </c>
      <c r="G5" s="10" t="inlineStr">
        <is>
          <t>All</t>
        </is>
      </c>
      <c r="H5" s="4" t="n"/>
      <c r="I5" s="11" t="inlineStr">
        <is>
          <t>Choose 'All' to clear a filter. Red = below the minimum attendance threshold (75% by default, editable on Lists).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STUDENTS TRACKED</t>
        </is>
      </c>
      <c r="C7" s="13" t="n"/>
      <c r="D7" s="14" t="n"/>
      <c r="E7" s="15" t="inlineStr">
        <is>
          <t>AVERAGE ATTENDANCE</t>
        </is>
      </c>
      <c r="F7" s="16" t="n"/>
      <c r="G7" s="17" t="n"/>
      <c r="H7" s="4" t="n"/>
      <c r="I7" s="67" t="inlineStr">
        <is>
          <t>BELOW 75% (SHORTAGE)</t>
        </is>
      </c>
      <c r="J7" s="68" t="n"/>
      <c r="K7" s="69" t="n"/>
      <c r="L7" s="21" t="inlineStr">
        <is>
          <t>EXCELLENT (90%+)</t>
        </is>
      </c>
      <c r="M7" s="22" t="n"/>
      <c r="N7" s="23" t="n"/>
      <c r="O7" s="4" t="n"/>
    </row>
    <row r="8" ht="22" customHeight="1">
      <c r="A8" s="4" t="n"/>
      <c r="B8" s="24">
        <f>COUNTIFS(tblAttendance[Branch],cAt_B,tblAttendance[Semester],cAt_S,tblAttendance[Year],cAt_Y)</f>
        <v>240</v>
      </c>
      <c r="D8" s="25" t="n"/>
      <c r="E8" s="26">
        <f>IFERROR(AVERAGEIFS(tblAttendance[Attendance %],tblAttendance[Branch],cAt_B,tblAttendance[Semester],cAt_S,tblAttendance[Year],cAt_Y),0)</f>
        <v>0.834516804881111</v>
      </c>
      <c r="G8" s="25" t="n"/>
      <c r="H8" s="4" t="n"/>
      <c r="I8" s="24">
        <f>COUNTIFS(tblAttendance[Branch],cAt_B,tblAttendance[Semester],cAt_S,tblAttendance[Year],cAt_Y,tblAttendance[Attendance %],"&lt;"&amp;p_AttMin)</f>
        <v>42</v>
      </c>
      <c r="K8" s="25" t="n"/>
      <c r="L8" s="24">
        <f>COUNTIFS(tblAttendance[Branch],cAt_B,tblAttendance[Semester],cAt_S,tblAttendance[Year],cAt_Y,tblAttendance[Attendance %],"&gt;="&amp;p_AttExc)</f>
        <v>64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"Records in current selection"</f>
        <v>Records in current selection</v>
      </c>
      <c r="D10" s="25" t="n"/>
      <c r="E10" s="29" t="str">
        <f>"Minimum required: "&amp;TEXT(p_AttMin,"0%")</f>
        <v>Minimum required: 75%</v>
      </c>
      <c r="G10" s="25" t="n"/>
      <c r="H10" s="4" t="n"/>
      <c r="I10" s="29" t="str">
        <f>TEXT(IFERROR(COUNTIFS(tblAttendance[Branch],cAt_B,tblAttendance[Semester],cAt_S,tblAttendance[Year],cAt_Y,tblAttendance[Attendance %],"&lt;"&amp;p_AttMin)/COUNTIFS(tblAttendance[Branch],cAt_B,tblAttendance[Semester],cAt_S,tblAttendance[Year],cAt_Y),0),"0.0%")&amp;" of students at risk"</f>
        <v>17.5% of students at risk</v>
      </c>
      <c r="K10" s="25" t="n"/>
      <c r="L10" s="29" t="str">
        <f>TEXT(IFERROR(COUNTIFS(tblAttendance[Branch],cAt_B,tblAttendance[Semester],cAt_S,tblAttendance[Year],cAt_Y,tblAttendance[Attendance %],"&gt;="&amp;p_AttExc)/COUNTIFS(tblAttendance[Branch],cAt_B,tblAttendance[Semester],cAt_S,tblAttendance[Year],cAt_Y),0),"0.0%")&amp;" of students"</f>
        <v>26.7% of students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54" t="inlineStr">
        <is>
          <t>▲ TOP 10 - HIGHEST ATTENDANCE</t>
        </is>
      </c>
      <c r="C42" s="55" t="n"/>
      <c r="D42" s="55" t="n"/>
      <c r="E42" s="55" t="n"/>
      <c r="F42" s="55" t="n"/>
      <c r="G42" s="55" t="n"/>
      <c r="H42" s="4" t="n"/>
      <c r="I42" s="56" t="inlineStr">
        <is>
          <t>▼ BOTTOM 10 - LOWEST ATTENDANCE (AT RISK)</t>
        </is>
      </c>
      <c r="J42" s="57" t="n"/>
      <c r="K42" s="57" t="n"/>
      <c r="L42" s="57" t="n"/>
      <c r="M42" s="57" t="n"/>
      <c r="N42" s="57" t="n"/>
      <c r="O42" s="4" t="n"/>
    </row>
    <row r="43" ht="24" customHeight="1">
      <c r="A43" s="4" t="n"/>
      <c r="B43" s="58" t="inlineStr">
        <is>
          <t>#</t>
        </is>
      </c>
      <c r="C43" s="58" t="inlineStr">
        <is>
          <t>Student</t>
        </is>
      </c>
      <c r="D43" s="58" t="inlineStr">
        <is>
          <t>Branch</t>
        </is>
      </c>
      <c r="E43" s="58" t="inlineStr">
        <is>
          <t>Sem</t>
        </is>
      </c>
      <c r="F43" s="58" t="inlineStr">
        <is>
          <t>Attend.</t>
        </is>
      </c>
      <c r="G43" s="58" t="inlineStr">
        <is>
          <t>Status</t>
        </is>
      </c>
      <c r="H43" s="4" t="n"/>
      <c r="I43" s="58" t="inlineStr">
        <is>
          <t>#</t>
        </is>
      </c>
      <c r="J43" s="58" t="inlineStr">
        <is>
          <t>Student</t>
        </is>
      </c>
      <c r="K43" s="58" t="inlineStr">
        <is>
          <t>Branch</t>
        </is>
      </c>
      <c r="L43" s="58" t="inlineStr">
        <is>
          <t>Sem</t>
        </is>
      </c>
      <c r="M43" s="58" t="inlineStr">
        <is>
          <t>Attend.</t>
        </is>
      </c>
      <c r="N43" s="58" t="inlineStr">
        <is>
          <t>Status</t>
        </is>
      </c>
      <c r="O43" s="4" t="n"/>
    </row>
    <row r="44">
      <c r="A44" s="4" t="n"/>
      <c r="B44" s="33" t="n">
        <v>1</v>
      </c>
      <c r="C44" s="59" t="str">
        <f>IFERROR(INDEX(tblAttendance[Student Name],MATCH(LARGE(tblAttendance[Rank Key],$B44),tblAttendance[Rank Key],0)),"-")</f>
        <v>Parth Chauhan</v>
      </c>
      <c r="D44" s="60" t="str">
        <f>IFERROR(INDEX(tblAttendance[Branch],MATCH(LARGE(tblAttendance[Rank Key],$B44),tblAttendance[Rank Key],0)),"-")</f>
        <v>CSE</v>
      </c>
      <c r="E44" s="61">
        <f>IFERROR(INDEX(tblAttendance[Semester],MATCH(LARGE(tblAttendance[Rank Key],$B44),tblAttendance[Rank Key],0)),"-")</f>
        <v>3</v>
      </c>
      <c r="F44" s="70">
        <f>IFERROR(INDEX(tblAttendance[Attendance %],MATCH(LARGE(tblAttendance[Rank Key],$B44),tblAttendance[Rank Key],0)),"-")</f>
        <v>0.989473684210526</v>
      </c>
      <c r="G44" s="60" t="str">
        <f>IFERROR(INDEX(tblAttendance[Status],MATCH(LARGE(tblAttendance[Rank Key],$B44),tblAttendance[Rank Key],0)),"-")</f>
        <v>Excellent</v>
      </c>
      <c r="H44" s="4" t="n"/>
      <c r="I44" s="33" t="n">
        <v>1</v>
      </c>
      <c r="J44" s="59" t="str">
        <f>IFERROR(INDEX(tblAttendance[Student Name],MATCH(SMALL(tblAttendance[Rank Key],$I44),tblAttendance[Rank Key],0)),"-")</f>
        <v>Devansh Singh</v>
      </c>
      <c r="K44" s="60" t="str">
        <f>IFERROR(INDEX(tblAttendance[Branch],MATCH(SMALL(tblAttendance[Rank Key],$I44),tblAttendance[Rank Key],0)),"-")</f>
        <v>ME</v>
      </c>
      <c r="L44" s="61">
        <f>IFERROR(INDEX(tblAttendance[Semester],MATCH(SMALL(tblAttendance[Rank Key],$I44),tblAttendance[Rank Key],0)),"-")</f>
        <v>4</v>
      </c>
      <c r="M44" s="70">
        <f>IFERROR(INDEX(tblAttendance[Attendance %],MATCH(SMALL(tblAttendance[Rank Key],$I44),tblAttendance[Rank Key],0)),"-")</f>
        <v>0.608187134502924</v>
      </c>
      <c r="N44" s="60" t="str">
        <f>IFERROR(INDEX(tblAttendance[Status],MATCH(SMALL(tblAttendance[Rank Key],$I44),tblAttendance[Rank Key],0)),"-")</f>
        <v>Shortage</v>
      </c>
      <c r="O44" s="4" t="n"/>
    </row>
    <row r="45">
      <c r="A45" s="4" t="n"/>
      <c r="B45" s="42" t="n">
        <v>2</v>
      </c>
      <c r="C45" s="63" t="str">
        <f>IFERROR(INDEX(tblAttendance[Student Name],MATCH(LARGE(tblAttendance[Rank Key],$B45),tblAttendance[Rank Key],0)),"-")</f>
        <v>Jhanvi Kumar</v>
      </c>
      <c r="D45" s="64" t="str">
        <f>IFERROR(INDEX(tblAttendance[Branch],MATCH(LARGE(tblAttendance[Rank Key],$B45),tblAttendance[Rank Key],0)),"-")</f>
        <v>ECE</v>
      </c>
      <c r="E45" s="65">
        <f>IFERROR(INDEX(tblAttendance[Semester],MATCH(LARGE(tblAttendance[Rank Key],$B45),tblAttendance[Rank Key],0)),"-")</f>
        <v>8</v>
      </c>
      <c r="F45" s="71">
        <f>IFERROR(INDEX(tblAttendance[Attendance %],MATCH(LARGE(tblAttendance[Rank Key],$B45),tblAttendance[Rank Key],0)),"-")</f>
        <v>0.989417989417989</v>
      </c>
      <c r="G45" s="64" t="str">
        <f>IFERROR(INDEX(tblAttendance[Status],MATCH(LARGE(tblAttendance[Rank Key],$B45),tblAttendance[Rank Key],0)),"-")</f>
        <v>Excellent</v>
      </c>
      <c r="H45" s="4" t="n"/>
      <c r="I45" s="42" t="n">
        <v>2</v>
      </c>
      <c r="J45" s="63" t="str">
        <f>IFERROR(INDEX(tblAttendance[Student Name],MATCH(SMALL(tblAttendance[Rank Key],$I45),tblAttendance[Rank Key],0)),"-")</f>
        <v>Mohit Srivastava</v>
      </c>
      <c r="K45" s="64" t="str">
        <f>IFERROR(INDEX(tblAttendance[Branch],MATCH(SMALL(tblAttendance[Rank Key],$I45),tblAttendance[Rank Key],0)),"-")</f>
        <v>CSE</v>
      </c>
      <c r="L45" s="65">
        <f>IFERROR(INDEX(tblAttendance[Semester],MATCH(SMALL(tblAttendance[Rank Key],$I45),tblAttendance[Rank Key],0)),"-")</f>
        <v>8</v>
      </c>
      <c r="M45" s="71">
        <f>IFERROR(INDEX(tblAttendance[Attendance %],MATCH(SMALL(tblAttendance[Rank Key],$I45),tblAttendance[Rank Key],0)),"-")</f>
        <v>0.614906832298137</v>
      </c>
      <c r="N45" s="64" t="str">
        <f>IFERROR(INDEX(tblAttendance[Status],MATCH(SMALL(tblAttendance[Rank Key],$I45),tblAttendance[Rank Key],0)),"-")</f>
        <v>Shortage</v>
      </c>
      <c r="O45" s="4" t="n"/>
    </row>
    <row r="46">
      <c r="A46" s="4" t="n"/>
      <c r="B46" s="33" t="n">
        <v>3</v>
      </c>
      <c r="C46" s="59" t="str">
        <f>IFERROR(INDEX(tblAttendance[Student Name],MATCH(LARGE(tblAttendance[Rank Key],$B46),tblAttendance[Rank Key],0)),"-")</f>
        <v>Pallavi Srivastava</v>
      </c>
      <c r="D46" s="60" t="str">
        <f>IFERROR(INDEX(tblAttendance[Branch],MATCH(LARGE(tblAttendance[Rank Key],$B46),tblAttendance[Rank Key],0)),"-")</f>
        <v>ECE</v>
      </c>
      <c r="E46" s="61">
        <f>IFERROR(INDEX(tblAttendance[Semester],MATCH(LARGE(tblAttendance[Rank Key],$B46),tblAttendance[Rank Key],0)),"-")</f>
        <v>6</v>
      </c>
      <c r="F46" s="70">
        <f>IFERROR(INDEX(tblAttendance[Attendance %],MATCH(LARGE(tblAttendance[Rank Key],$B46),tblAttendance[Rank Key],0)),"-")</f>
        <v>0.988950276243094</v>
      </c>
      <c r="G46" s="60" t="str">
        <f>IFERROR(INDEX(tblAttendance[Status],MATCH(LARGE(tblAttendance[Rank Key],$B46),tblAttendance[Rank Key],0)),"-")</f>
        <v>Excellent</v>
      </c>
      <c r="H46" s="4" t="n"/>
      <c r="I46" s="33" t="n">
        <v>3</v>
      </c>
      <c r="J46" s="59" t="str">
        <f>IFERROR(INDEX(tblAttendance[Student Name],MATCH(SMALL(tblAttendance[Rank Key],$I46),tblAttendance[Rank Key],0)),"-")</f>
        <v>Kartik Singh</v>
      </c>
      <c r="K46" s="60" t="str">
        <f>IFERROR(INDEX(tblAttendance[Branch],MATCH(SMALL(tblAttendance[Rank Key],$I46),tblAttendance[Rank Key],0)),"-")</f>
        <v>CE</v>
      </c>
      <c r="L46" s="61">
        <f>IFERROR(INDEX(tblAttendance[Semester],MATCH(SMALL(tblAttendance[Rank Key],$I46),tblAttendance[Rank Key],0)),"-")</f>
        <v>6</v>
      </c>
      <c r="M46" s="70">
        <f>IFERROR(INDEX(tblAttendance[Attendance %],MATCH(SMALL(tblAttendance[Rank Key],$I46),tblAttendance[Rank Key],0)),"-")</f>
        <v>0.628571428571429</v>
      </c>
      <c r="N46" s="60" t="str">
        <f>IFERROR(INDEX(tblAttendance[Status],MATCH(SMALL(tblAttendance[Rank Key],$I46),tblAttendance[Rank Key],0)),"-")</f>
        <v>Shortage</v>
      </c>
      <c r="O46" s="4" t="n"/>
    </row>
    <row r="47">
      <c r="A47" s="4" t="n"/>
      <c r="B47" s="42" t="n">
        <v>4</v>
      </c>
      <c r="C47" s="63" t="str">
        <f>IFERROR(INDEX(tblAttendance[Student Name],MATCH(LARGE(tblAttendance[Rank Key],$B47),tblAttendance[Rank Key],0)),"-")</f>
        <v>Garima Kumar</v>
      </c>
      <c r="D47" s="64" t="str">
        <f>IFERROR(INDEX(tblAttendance[Branch],MATCH(LARGE(tblAttendance[Rank Key],$B47),tblAttendance[Rank Key],0)),"-")</f>
        <v>IT</v>
      </c>
      <c r="E47" s="65">
        <f>IFERROR(INDEX(tblAttendance[Semester],MATCH(LARGE(tblAttendance[Rank Key],$B47),tblAttendance[Rank Key],0)),"-")</f>
        <v>1</v>
      </c>
      <c r="F47" s="71">
        <f>IFERROR(INDEX(tblAttendance[Attendance %],MATCH(LARGE(tblAttendance[Rank Key],$B47),tblAttendance[Rank Key],0)),"-")</f>
        <v>0.988439306358382</v>
      </c>
      <c r="G47" s="64" t="str">
        <f>IFERROR(INDEX(tblAttendance[Status],MATCH(LARGE(tblAttendance[Rank Key],$B47),tblAttendance[Rank Key],0)),"-")</f>
        <v>Excellent</v>
      </c>
      <c r="H47" s="4" t="n"/>
      <c r="I47" s="42" t="n">
        <v>4</v>
      </c>
      <c r="J47" s="63" t="str">
        <f>IFERROR(INDEX(tblAttendance[Student Name],MATCH(SMALL(tblAttendance[Rank Key],$I47),tblAttendance[Rank Key],0)),"-")</f>
        <v>Aditi Agarwal</v>
      </c>
      <c r="K47" s="64" t="str">
        <f>IFERROR(INDEX(tblAttendance[Branch],MATCH(SMALL(tblAttendance[Rank Key],$I47),tblAttendance[Rank Key],0)),"-")</f>
        <v>ME</v>
      </c>
      <c r="L47" s="65">
        <f>IFERROR(INDEX(tblAttendance[Semester],MATCH(SMALL(tblAttendance[Rank Key],$I47),tblAttendance[Rank Key],0)),"-")</f>
        <v>4</v>
      </c>
      <c r="M47" s="71">
        <f>IFERROR(INDEX(tblAttendance[Attendance %],MATCH(SMALL(tblAttendance[Rank Key],$I47),tblAttendance[Rank Key],0)),"-")</f>
        <v>0.635294117647059</v>
      </c>
      <c r="N47" s="64" t="str">
        <f>IFERROR(INDEX(tblAttendance[Status],MATCH(SMALL(tblAttendance[Rank Key],$I47),tblAttendance[Rank Key],0)),"-")</f>
        <v>Shortage</v>
      </c>
      <c r="O47" s="4" t="n"/>
    </row>
    <row r="48">
      <c r="A48" s="4" t="n"/>
      <c r="B48" s="33" t="n">
        <v>5</v>
      </c>
      <c r="C48" s="59" t="str">
        <f>IFERROR(INDEX(tblAttendance[Student Name],MATCH(LARGE(tblAttendance[Rank Key],$B48),tblAttendance[Rank Key],0)),"-")</f>
        <v>Vivaan Shah</v>
      </c>
      <c r="D48" s="60" t="str">
        <f>IFERROR(INDEX(tblAttendance[Branch],MATCH(LARGE(tblAttendance[Rank Key],$B48),tblAttendance[Rank Key],0)),"-")</f>
        <v>ME</v>
      </c>
      <c r="E48" s="61">
        <f>IFERROR(INDEX(tblAttendance[Semester],MATCH(LARGE(tblAttendance[Rank Key],$B48),tblAttendance[Rank Key],0)),"-")</f>
        <v>6</v>
      </c>
      <c r="F48" s="70">
        <f>IFERROR(INDEX(tblAttendance[Attendance %],MATCH(LARGE(tblAttendance[Rank Key],$B48),tblAttendance[Rank Key],0)),"-")</f>
        <v>0.988235294117647</v>
      </c>
      <c r="G48" s="60" t="str">
        <f>IFERROR(INDEX(tblAttendance[Status],MATCH(LARGE(tblAttendance[Rank Key],$B48),tblAttendance[Rank Key],0)),"-")</f>
        <v>Excellent</v>
      </c>
      <c r="H48" s="4" t="n"/>
      <c r="I48" s="33" t="n">
        <v>5</v>
      </c>
      <c r="J48" s="59" t="str">
        <f>IFERROR(INDEX(tblAttendance[Student Name],MATCH(SMALL(tblAttendance[Rank Key],$I48),tblAttendance[Rank Key],0)),"-")</f>
        <v>Vaishnavi Ansari</v>
      </c>
      <c r="K48" s="60" t="str">
        <f>IFERROR(INDEX(tblAttendance[Branch],MATCH(SMALL(tblAttendance[Rank Key],$I48),tblAttendance[Rank Key],0)),"-")</f>
        <v>IT</v>
      </c>
      <c r="L48" s="61">
        <f>IFERROR(INDEX(tblAttendance[Semester],MATCH(SMALL(tblAttendance[Rank Key],$I48),tblAttendance[Rank Key],0)),"-")</f>
        <v>6</v>
      </c>
      <c r="M48" s="70">
        <f>IFERROR(INDEX(tblAttendance[Attendance %],MATCH(SMALL(tblAttendance[Rank Key],$I48),tblAttendance[Rank Key],0)),"-")</f>
        <v>0.642105263157895</v>
      </c>
      <c r="N48" s="60" t="str">
        <f>IFERROR(INDEX(tblAttendance[Status],MATCH(SMALL(tblAttendance[Rank Key],$I48),tblAttendance[Rank Key],0)),"-")</f>
        <v>Shortage</v>
      </c>
      <c r="O48" s="4" t="n"/>
    </row>
    <row r="49">
      <c r="A49" s="4" t="n"/>
      <c r="B49" s="42" t="n">
        <v>6</v>
      </c>
      <c r="C49" s="63" t="str">
        <f>IFERROR(INDEX(tblAttendance[Student Name],MATCH(LARGE(tblAttendance[Rank Key],$B49),tblAttendance[Rank Key],0)),"-")</f>
        <v>Devansh Jain</v>
      </c>
      <c r="D49" s="64" t="str">
        <f>IFERROR(INDEX(tblAttendance[Branch],MATCH(LARGE(tblAttendance[Rank Key],$B49),tblAttendance[Rank Key],0)),"-")</f>
        <v>ECE</v>
      </c>
      <c r="E49" s="65">
        <f>IFERROR(INDEX(tblAttendance[Semester],MATCH(LARGE(tblAttendance[Rank Key],$B49),tblAttendance[Rank Key],0)),"-")</f>
        <v>5</v>
      </c>
      <c r="F49" s="71">
        <f>IFERROR(INDEX(tblAttendance[Attendance %],MATCH(LARGE(tblAttendance[Rank Key],$B49),tblAttendance[Rank Key],0)),"-")</f>
        <v>0.988095238095238</v>
      </c>
      <c r="G49" s="64" t="str">
        <f>IFERROR(INDEX(tblAttendance[Status],MATCH(LARGE(tblAttendance[Rank Key],$B49),tblAttendance[Rank Key],0)),"-")</f>
        <v>Excellent</v>
      </c>
      <c r="H49" s="4" t="n"/>
      <c r="I49" s="42" t="n">
        <v>6</v>
      </c>
      <c r="J49" s="63" t="str">
        <f>IFERROR(INDEX(tblAttendance[Student Name],MATCH(SMALL(tblAttendance[Rank Key],$I49),tblAttendance[Rank Key],0)),"-")</f>
        <v>Varun Iyer</v>
      </c>
      <c r="K49" s="64" t="str">
        <f>IFERROR(INDEX(tblAttendance[Branch],MATCH(SMALL(tblAttendance[Rank Key],$I49),tblAttendance[Rank Key],0)),"-")</f>
        <v>CE</v>
      </c>
      <c r="L49" s="65">
        <f>IFERROR(INDEX(tblAttendance[Semester],MATCH(SMALL(tblAttendance[Rank Key],$I49),tblAttendance[Rank Key],0)),"-")</f>
        <v>3</v>
      </c>
      <c r="M49" s="71">
        <f>IFERROR(INDEX(tblAttendance[Attendance %],MATCH(SMALL(tblAttendance[Rank Key],$I49),tblAttendance[Rank Key],0)),"-")</f>
        <v>0.65359477124183</v>
      </c>
      <c r="N49" s="64" t="str">
        <f>IFERROR(INDEX(tblAttendance[Status],MATCH(SMALL(tblAttendance[Rank Key],$I49),tblAttendance[Rank Key],0)),"-")</f>
        <v>Shortage</v>
      </c>
      <c r="O49" s="4" t="n"/>
    </row>
    <row r="50">
      <c r="A50" s="4" t="n"/>
      <c r="B50" s="33" t="n">
        <v>7</v>
      </c>
      <c r="C50" s="59" t="str">
        <f>IFERROR(INDEX(tblAttendance[Student Name],MATCH(LARGE(tblAttendance[Rank Key],$B50),tblAttendance[Rank Key],0)),"-")</f>
        <v>Jhanvi Ansari</v>
      </c>
      <c r="D50" s="60" t="str">
        <f>IFERROR(INDEX(tblAttendance[Branch],MATCH(LARGE(tblAttendance[Rank Key],$B50),tblAttendance[Rank Key],0)),"-")</f>
        <v>CSE</v>
      </c>
      <c r="E50" s="61">
        <f>IFERROR(INDEX(tblAttendance[Semester],MATCH(LARGE(tblAttendance[Rank Key],$B50),tblAttendance[Rank Key],0)),"-")</f>
        <v>6</v>
      </c>
      <c r="F50" s="70">
        <f>IFERROR(INDEX(tblAttendance[Attendance %],MATCH(LARGE(tblAttendance[Rank Key],$B50),tblAttendance[Rank Key],0)),"-")</f>
        <v>0.9875</v>
      </c>
      <c r="G50" s="60" t="str">
        <f>IFERROR(INDEX(tblAttendance[Status],MATCH(LARGE(tblAttendance[Rank Key],$B50),tblAttendance[Rank Key],0)),"-")</f>
        <v>Excellent</v>
      </c>
      <c r="H50" s="4" t="n"/>
      <c r="I50" s="33" t="n">
        <v>7</v>
      </c>
      <c r="J50" s="59" t="str">
        <f>IFERROR(INDEX(tblAttendance[Student Name],MATCH(SMALL(tblAttendance[Rank Key],$I50),tblAttendance[Rank Key],0)),"-")</f>
        <v>Srishti Garg</v>
      </c>
      <c r="K50" s="60" t="str">
        <f>IFERROR(INDEX(tblAttendance[Branch],MATCH(SMALL(tblAttendance[Rank Key],$I50),tblAttendance[Rank Key],0)),"-")</f>
        <v>ECE</v>
      </c>
      <c r="L50" s="61">
        <f>IFERROR(INDEX(tblAttendance[Semester],MATCH(SMALL(tblAttendance[Rank Key],$I50),tblAttendance[Rank Key],0)),"-")</f>
        <v>5</v>
      </c>
      <c r="M50" s="70">
        <f>IFERROR(INDEX(tblAttendance[Attendance %],MATCH(SMALL(tblAttendance[Rank Key],$I50),tblAttendance[Rank Key],0)),"-")</f>
        <v>0.679558011049724</v>
      </c>
      <c r="N50" s="60" t="str">
        <f>IFERROR(INDEX(tblAttendance[Status],MATCH(SMALL(tblAttendance[Rank Key],$I50),tblAttendance[Rank Key],0)),"-")</f>
        <v>Shortage</v>
      </c>
      <c r="O50" s="4" t="n"/>
    </row>
    <row r="51">
      <c r="A51" s="4" t="n"/>
      <c r="B51" s="42" t="n">
        <v>8</v>
      </c>
      <c r="C51" s="63" t="str">
        <f>IFERROR(INDEX(tblAttendance[Student Name],MATCH(LARGE(tblAttendance[Rank Key],$B51),tblAttendance[Rank Key],0)),"-")</f>
        <v>Tanya Bhatt</v>
      </c>
      <c r="D51" s="64" t="str">
        <f>IFERROR(INDEX(tblAttendance[Branch],MATCH(LARGE(tblAttendance[Rank Key],$B51),tblAttendance[Rank Key],0)),"-")</f>
        <v>CSE</v>
      </c>
      <c r="E51" s="65">
        <f>IFERROR(INDEX(tblAttendance[Semester],MATCH(LARGE(tblAttendance[Rank Key],$B51),tblAttendance[Rank Key],0)),"-")</f>
        <v>7</v>
      </c>
      <c r="F51" s="71">
        <f>IFERROR(INDEX(tblAttendance[Attendance %],MATCH(LARGE(tblAttendance[Rank Key],$B51),tblAttendance[Rank Key],0)),"-")</f>
        <v>0.987341772151899</v>
      </c>
      <c r="G51" s="64" t="str">
        <f>IFERROR(INDEX(tblAttendance[Status],MATCH(LARGE(tblAttendance[Rank Key],$B51),tblAttendance[Rank Key],0)),"-")</f>
        <v>Excellent</v>
      </c>
      <c r="H51" s="4" t="n"/>
      <c r="I51" s="42" t="n">
        <v>8</v>
      </c>
      <c r="J51" s="63" t="str">
        <f>IFERROR(INDEX(tblAttendance[Student Name],MATCH(SMALL(tblAttendance[Rank Key],$I51),tblAttendance[Rank Key],0)),"-")</f>
        <v>Mayank Agarwal</v>
      </c>
      <c r="K51" s="64" t="str">
        <f>IFERROR(INDEX(tblAttendance[Branch],MATCH(SMALL(tblAttendance[Rank Key],$I51),tblAttendance[Rank Key],0)),"-")</f>
        <v>CE</v>
      </c>
      <c r="L51" s="65">
        <f>IFERROR(INDEX(tblAttendance[Semester],MATCH(SMALL(tblAttendance[Rank Key],$I51),tblAttendance[Rank Key],0)),"-")</f>
        <v>6</v>
      </c>
      <c r="M51" s="71">
        <f>IFERROR(INDEX(tblAttendance[Attendance %],MATCH(SMALL(tblAttendance[Rank Key],$I51),tblAttendance[Rank Key],0)),"-")</f>
        <v>0.685897435897436</v>
      </c>
      <c r="N51" s="64" t="str">
        <f>IFERROR(INDEX(tblAttendance[Status],MATCH(SMALL(tblAttendance[Rank Key],$I51),tblAttendance[Rank Key],0)),"-")</f>
        <v>Shortage</v>
      </c>
      <c r="O51" s="4" t="n"/>
    </row>
    <row r="52">
      <c r="A52" s="4" t="n"/>
      <c r="B52" s="33" t="n">
        <v>9</v>
      </c>
      <c r="C52" s="59" t="str">
        <f>IFERROR(INDEX(tblAttendance[Student Name],MATCH(LARGE(tblAttendance[Rank Key],$B52),tblAttendance[Rank Key],0)),"-")</f>
        <v>Yash Banerjee</v>
      </c>
      <c r="D52" s="60" t="str">
        <f>IFERROR(INDEX(tblAttendance[Branch],MATCH(LARGE(tblAttendance[Rank Key],$B52),tblAttendance[Rank Key],0)),"-")</f>
        <v>ME</v>
      </c>
      <c r="E52" s="61">
        <f>IFERROR(INDEX(tblAttendance[Semester],MATCH(LARGE(tblAttendance[Rank Key],$B52),tblAttendance[Rank Key],0)),"-")</f>
        <v>3</v>
      </c>
      <c r="F52" s="70">
        <f>IFERROR(INDEX(tblAttendance[Attendance %],MATCH(LARGE(tblAttendance[Rank Key],$B52),tblAttendance[Rank Key],0)),"-")</f>
        <v>0.987096774193548</v>
      </c>
      <c r="G52" s="60" t="str">
        <f>IFERROR(INDEX(tblAttendance[Status],MATCH(LARGE(tblAttendance[Rank Key],$B52),tblAttendance[Rank Key],0)),"-")</f>
        <v>Excellent</v>
      </c>
      <c r="H52" s="4" t="n"/>
      <c r="I52" s="33" t="n">
        <v>9</v>
      </c>
      <c r="J52" s="59" t="str">
        <f>IFERROR(INDEX(tblAttendance[Student Name],MATCH(SMALL(tblAttendance[Rank Key],$I52),tblAttendance[Rank Key],0)),"-")</f>
        <v>Deepak Khan</v>
      </c>
      <c r="K52" s="60" t="str">
        <f>IFERROR(INDEX(tblAttendance[Branch],MATCH(SMALL(tblAttendance[Rank Key],$I52),tblAttendance[Rank Key],0)),"-")</f>
        <v>ME</v>
      </c>
      <c r="L52" s="61">
        <f>IFERROR(INDEX(tblAttendance[Semester],MATCH(SMALL(tblAttendance[Rank Key],$I52),tblAttendance[Rank Key],0)),"-")</f>
        <v>7</v>
      </c>
      <c r="M52" s="70">
        <f>IFERROR(INDEX(tblAttendance[Attendance %],MATCH(SMALL(tblAttendance[Rank Key],$I52),tblAttendance[Rank Key],0)),"-")</f>
        <v>0.686390532544379</v>
      </c>
      <c r="N52" s="60" t="str">
        <f>IFERROR(INDEX(tblAttendance[Status],MATCH(SMALL(tblAttendance[Rank Key],$I52),tblAttendance[Rank Key],0)),"-")</f>
        <v>Shortage</v>
      </c>
      <c r="O52" s="4" t="n"/>
    </row>
    <row r="53">
      <c r="A53" s="4" t="n"/>
      <c r="B53" s="42" t="n">
        <v>10</v>
      </c>
      <c r="C53" s="63" t="str">
        <f>IFERROR(INDEX(tblAttendance[Student Name],MATCH(LARGE(tblAttendance[Rank Key],$B53),tblAttendance[Rank Key],0)),"-")</f>
        <v>Rajat Tiwari</v>
      </c>
      <c r="D53" s="64" t="str">
        <f>IFERROR(INDEX(tblAttendance[Branch],MATCH(LARGE(tblAttendance[Rank Key],$B53),tblAttendance[Rank Key],0)),"-")</f>
        <v>IT</v>
      </c>
      <c r="E53" s="65">
        <f>IFERROR(INDEX(tblAttendance[Semester],MATCH(LARGE(tblAttendance[Rank Key],$B53),tblAttendance[Rank Key],0)),"-")</f>
        <v>3</v>
      </c>
      <c r="F53" s="71">
        <f>IFERROR(INDEX(tblAttendance[Attendance %],MATCH(LARGE(tblAttendance[Rank Key],$B53),tblAttendance[Rank Key],0)),"-")</f>
        <v>0.986842105263158</v>
      </c>
      <c r="G53" s="64" t="str">
        <f>IFERROR(INDEX(tblAttendance[Status],MATCH(LARGE(tblAttendance[Rank Key],$B53),tblAttendance[Rank Key],0)),"-")</f>
        <v>Excellent</v>
      </c>
      <c r="H53" s="4" t="n"/>
      <c r="I53" s="42" t="n">
        <v>10</v>
      </c>
      <c r="J53" s="63" t="str">
        <f>IFERROR(INDEX(tblAttendance[Student Name],MATCH(SMALL(tblAttendance[Rank Key],$I53),tblAttendance[Rank Key],0)),"-")</f>
        <v>Radhika Kumar</v>
      </c>
      <c r="K53" s="64" t="str">
        <f>IFERROR(INDEX(tblAttendance[Branch],MATCH(SMALL(tblAttendance[Rank Key],$I53),tblAttendance[Rank Key],0)),"-")</f>
        <v>IT</v>
      </c>
      <c r="L53" s="65">
        <f>IFERROR(INDEX(tblAttendance[Semester],MATCH(SMALL(tblAttendance[Rank Key],$I53),tblAttendance[Rank Key],0)),"-")</f>
        <v>7</v>
      </c>
      <c r="M53" s="71">
        <f>IFERROR(INDEX(tblAttendance[Attendance %],MATCH(SMALL(tblAttendance[Rank Key],$I53),tblAttendance[Rank Key],0)),"-")</f>
        <v>0.686746987951807</v>
      </c>
      <c r="N53" s="64" t="str">
        <f>IFERROR(INDEX(tblAttendance[Status],MATCH(SMALL(tblAttendance[Rank Key],$I53),tblAttendance[Rank Key],0)),"-")</f>
        <v>Shortage</v>
      </c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 ht="28" customHeight="1">
      <c r="A55" s="4" t="n"/>
      <c r="B55" s="52" t="inlineStr">
        <is>
          <t>Status: Excellent ≥ 90%, Good ≥ 80%, Satisfactory ≥ 75%, Shortage &lt; 75% (thresholds editable on Lists). Scatter plots every record regardless of filters.</t>
        </is>
      </c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2">
    <mergeCell ref="E10:G10"/>
    <mergeCell ref="B42:G42"/>
    <mergeCell ref="B3:C3"/>
    <mergeCell ref="B55:N55"/>
    <mergeCell ref="B10:D10"/>
    <mergeCell ref="L10:N10"/>
    <mergeCell ref="I5:N5"/>
    <mergeCell ref="I42:N42"/>
    <mergeCell ref="E8:G9"/>
    <mergeCell ref="E7:G7"/>
    <mergeCell ref="B8:D9"/>
    <mergeCell ref="I3:J3"/>
    <mergeCell ref="I10:K10"/>
    <mergeCell ref="L8:N9"/>
    <mergeCell ref="M3:N3"/>
    <mergeCell ref="B7:D7"/>
    <mergeCell ref="B2:N2"/>
    <mergeCell ref="L7:N7"/>
    <mergeCell ref="B1:N1"/>
    <mergeCell ref="I8:K9"/>
    <mergeCell ref="I7:K7"/>
    <mergeCell ref="K3:L3"/>
  </mergeCells>
  <conditionalFormatting sqref="E8">
    <cfRule type="cellIs" priority="1" operator="lessThan" dxfId="0">
      <formula>p_AttGood</formula>
    </cfRule>
    <cfRule type="cellIs" priority="2" operator="greaterThanOrEqual" dxfId="1">
      <formula>p_AttGood</formula>
    </cfRule>
  </conditionalFormatting>
  <conditionalFormatting sqref="I8">
    <cfRule type="cellIs" priority="3" operator="greaterThan" dxfId="0">
      <formula>0</formula>
    </cfRule>
  </conditionalFormatting>
  <conditionalFormatting sqref="F44:F53">
    <cfRule type="cellIs" priority="4" operator="lessThan" dxfId="4">
      <formula>p_AttMin</formula>
    </cfRule>
    <cfRule type="cellIs" priority="5" operator="greaterThanOrEqual" dxfId="5">
      <formula>p_AttGood</formula>
    </cfRule>
  </conditionalFormatting>
  <conditionalFormatting sqref="M44:M53">
    <cfRule type="cellIs" priority="6" operator="lessThan" dxfId="4">
      <formula>p_AttMin</formula>
    </cfRule>
    <cfRule type="cellIs" priority="7" operator="greaterThanOrEqual" dxfId="5">
      <formula>p_AttGood</formula>
    </cfRule>
  </conditionalFormatting>
  <dataValidations count="3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=Lists!$E$4:$E$12</formula1>
    </dataValidation>
    <dataValidation sqref="G5" showDropDown="0" showInputMessage="0" showErrorMessage="1" allowBlank="0" error="Pick a value from the dropdown" type="list">
      <formula1>=Lists!$G$4:$G$8</formula1>
    </dataValidation>
  </dataValidations>
  <hyperlinks>
    <hyperlink ref="B3" location="'Overview'!A1" display="« Overview"/>
    <hyperlink ref="D3" location="'Student Dashboard'!A1" display="Students"/>
    <hyperlink ref="F3" location="'Faculty Dashboard'!A1" display="Faculty"/>
    <hyperlink ref="G3" location="'Placement Dashboard'!A1" display="Placements"/>
    <hyperlink ref="I3" location="'Course Dashboard'!A1" display="Courses"/>
    <hyperlink ref="K3" location="'Instructions'!A1" display="Instructions"/>
    <hyperlink ref="M3" location="'Attendance'!A1" display="Data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Faculty Performance Analytics</t>
        </is>
      </c>
      <c r="O1" s="1" t="n"/>
    </row>
    <row r="2" ht="18" customHeight="1">
      <c r="A2" s="1" t="n"/>
      <c r="B2" s="3" t="inlineStr">
        <is>
          <t>Feedback, results, research output and composite performance score  |  source: tblFaculty</t>
        </is>
      </c>
      <c r="O2" s="1" t="n"/>
    </row>
    <row r="3" ht="22" customHeight="1">
      <c r="A3" s="4" t="n"/>
      <c r="B3" s="7" t="inlineStr">
        <is>
          <t>« Overview</t>
        </is>
      </c>
      <c r="C3" s="8" t="n"/>
      <c r="D3" s="7" t="inlineStr">
        <is>
          <t>Students</t>
        </is>
      </c>
      <c r="E3" s="7" t="inlineStr">
        <is>
          <t>Attendance</t>
        </is>
      </c>
      <c r="F3" s="5" t="inlineStr">
        <is>
          <t>Faculty</t>
        </is>
      </c>
      <c r="G3" s="7" t="inlineStr">
        <is>
          <t>Placements</t>
        </is>
      </c>
      <c r="H3" s="4" t="n"/>
      <c r="I3" s="7" t="inlineStr">
        <is>
          <t>Courses</t>
        </is>
      </c>
      <c r="J3" s="8" t="n"/>
      <c r="K3" s="7" t="inlineStr">
        <is>
          <t>Instructions</t>
        </is>
      </c>
      <c r="L3" s="8" t="n"/>
      <c r="M3" s="7" t="inlineStr">
        <is>
          <t>Data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Year</t>
        </is>
      </c>
      <c r="E5" s="10" t="inlineStr">
        <is>
          <t>All</t>
        </is>
      </c>
      <c r="F5" s="4" t="n"/>
      <c r="G5" s="4" t="n"/>
      <c r="H5" s="4" t="n"/>
      <c r="I5" s="11" t="inlineStr">
        <is>
          <t>Choose 'All' to clear a filter. Score = feedback 40 + pass rate 30 + research 20 + experience 10 (weights editable on Lists).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FACULTY EVALUATED</t>
        </is>
      </c>
      <c r="C7" s="13" t="n"/>
      <c r="D7" s="14" t="n"/>
      <c r="E7" s="15" t="inlineStr">
        <is>
          <t>AVG STUDENT FEEDBACK</t>
        </is>
      </c>
      <c r="F7" s="16" t="n"/>
      <c r="G7" s="17" t="n"/>
      <c r="H7" s="4" t="n"/>
      <c r="I7" s="18" t="inlineStr">
        <is>
          <t>AVG PERFORMANCE SCORE</t>
        </is>
      </c>
      <c r="J7" s="19" t="n"/>
      <c r="K7" s="20" t="n"/>
      <c r="L7" s="21" t="inlineStr">
        <is>
          <t>RESEARCH PAPERS</t>
        </is>
      </c>
      <c r="M7" s="22" t="n"/>
      <c r="N7" s="23" t="n"/>
      <c r="O7" s="4" t="n"/>
    </row>
    <row r="8" ht="22" customHeight="1">
      <c r="A8" s="4" t="n"/>
      <c r="B8" s="24">
        <f>COUNTIFS(tblFaculty[Department],cFa_B,tblFaculty[Year],cFa_Y)</f>
        <v>30</v>
      </c>
      <c r="D8" s="25" t="n"/>
      <c r="E8" s="53">
        <f>IFERROR(AVERAGEIFS(tblFaculty[Student Feedback],tblFaculty[Department],cFa_B,tblFaculty[Year],cFa_Y),0)</f>
        <v>4.04266666666667</v>
      </c>
      <c r="G8" s="25" t="n"/>
      <c r="H8" s="4" t="n"/>
      <c r="I8" s="27">
        <f>IFERROR(AVERAGEIFS(tblFaculty[Performance Score],tblFaculty[Department],cFa_B,tblFaculty[Year],cFa_Y),0)</f>
        <v>76.45</v>
      </c>
      <c r="K8" s="25" t="n"/>
      <c r="L8" s="24">
        <f>SUMIFS(tblFaculty[Research Papers],tblFaculty[Department],cFa_B,tblFaculty[Year],cFa_Y)</f>
        <v>188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"Outstanding: "&amp;COUNTIFS(tblFaculty[Department],cFa_B,tblFaculty[Year],cFa_Y,tblFaculty[Rating],"Outstanding")&amp;"  |  Needs improvement: "&amp;COUNTIFS(tblFaculty[Department],cFa_B,tblFaculty[Year],cFa_Y,tblFaculty[Rating],"Needs Improvement")</f>
        <v>Outstanding: 9  |  Needs improvement: 4</v>
      </c>
      <c r="D10" s="25" t="n"/>
      <c r="E10" s="29" t="str">
        <f>"Out of 5.00"</f>
        <v>Out of 5.00</v>
      </c>
      <c r="G10" s="25" t="n"/>
      <c r="H10" s="4" t="n"/>
      <c r="I10" s="29" t="str">
        <f>"Avg student pass rate: "&amp;TEXT(IFERROR(AVERAGEIFS(tblFaculty[Student Pass Rate],tblFaculty[Department],cFa_B,tblFaculty[Year],cFa_Y),0),"0.0%")</f>
        <v>Avg student pass rate: 91.7%</v>
      </c>
      <c r="K10" s="25" t="n"/>
      <c r="L10" s="29" t="str">
        <f>"Avg experience: "&amp;TEXT(IFERROR(AVERAGEIFS(tblFaculty[Experience Yrs],tblFaculty[Department],cFa_B,tblFaculty[Year],cFa_Y),0),"0.0")&amp;" years"</f>
        <v>Avg experience: 11.6 years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54" t="inlineStr">
        <is>
          <t>▲ TOP 10 FACULTY - PERFORMANCE SCORE</t>
        </is>
      </c>
      <c r="C42" s="55" t="n"/>
      <c r="D42" s="55" t="n"/>
      <c r="E42" s="55" t="n"/>
      <c r="F42" s="55" t="n"/>
      <c r="G42" s="55" t="n"/>
      <c r="H42" s="4" t="n"/>
      <c r="I42" s="56" t="inlineStr">
        <is>
          <t>▼ BOTTOM 10 FACULTY - PERFORMANCE SCORE</t>
        </is>
      </c>
      <c r="J42" s="57" t="n"/>
      <c r="K42" s="57" t="n"/>
      <c r="L42" s="57" t="n"/>
      <c r="M42" s="57" t="n"/>
      <c r="N42" s="57" t="n"/>
      <c r="O42" s="4" t="n"/>
    </row>
    <row r="43" ht="24" customHeight="1">
      <c r="A43" s="4" t="n"/>
      <c r="B43" s="58" t="inlineStr">
        <is>
          <t>#</t>
        </is>
      </c>
      <c r="C43" s="58" t="inlineStr">
        <is>
          <t>Faculty</t>
        </is>
      </c>
      <c r="D43" s="58" t="inlineStr">
        <is>
          <t>Dept</t>
        </is>
      </c>
      <c r="E43" s="58" t="inlineStr">
        <is>
          <t>Feedback</t>
        </is>
      </c>
      <c r="F43" s="58" t="inlineStr">
        <is>
          <t>Papers</t>
        </is>
      </c>
      <c r="G43" s="58" t="inlineStr">
        <is>
          <t>Score</t>
        </is>
      </c>
      <c r="H43" s="4" t="n"/>
      <c r="I43" s="58" t="inlineStr">
        <is>
          <t>#</t>
        </is>
      </c>
      <c r="J43" s="58" t="inlineStr">
        <is>
          <t>Faculty</t>
        </is>
      </c>
      <c r="K43" s="58" t="inlineStr">
        <is>
          <t>Dept</t>
        </is>
      </c>
      <c r="L43" s="58" t="inlineStr">
        <is>
          <t>Feedback</t>
        </is>
      </c>
      <c r="M43" s="58" t="inlineStr">
        <is>
          <t>Papers</t>
        </is>
      </c>
      <c r="N43" s="58" t="inlineStr">
        <is>
          <t>Score</t>
        </is>
      </c>
      <c r="O43" s="4" t="n"/>
    </row>
    <row r="44">
      <c r="A44" s="4" t="n"/>
      <c r="B44" s="33" t="n">
        <v>1</v>
      </c>
      <c r="C44" s="59" t="str">
        <f>IFERROR(INDEX(tblFaculty[Faculty Name],MATCH(LARGE(tblFaculty[Rank Key],$B44),tblFaculty[Rank Key],0)),"-")</f>
        <v>Dr. Manoj Yadav</v>
      </c>
      <c r="D44" s="60" t="str">
        <f>IFERROR(INDEX(tblFaculty[Department],MATCH(LARGE(tblFaculty[Rank Key],$B44),tblFaculty[Rank Key],0)),"-")</f>
        <v>IT</v>
      </c>
      <c r="E44" s="62">
        <f>IFERROR(INDEX(tblFaculty[Student Feedback],MATCH(LARGE(tblFaculty[Rank Key],$B44),tblFaculty[Rank Key],0)),"-")</f>
        <v>4.48</v>
      </c>
      <c r="F44" s="61">
        <f>IFERROR(INDEX(tblFaculty[Research Papers],MATCH(LARGE(tblFaculty[Rank Key],$B44),tblFaculty[Rank Key],0)),"-")</f>
        <v>17</v>
      </c>
      <c r="G44" s="72">
        <f>IFERROR(INDEX(tblFaculty[Performance Score],MATCH(LARGE(tblFaculty[Rank Key],$B44),tblFaculty[Rank Key],0)),"-")</f>
        <v>93.6</v>
      </c>
      <c r="H44" s="4" t="n"/>
      <c r="I44" s="33" t="n">
        <v>1</v>
      </c>
      <c r="J44" s="59" t="str">
        <f>IFERROR(INDEX(tblFaculty[Faculty Name],MATCH(SMALL(tblFaculty[Rank Key],$I44),tblFaculty[Rank Key],0)),"-")</f>
        <v>Mr. Rekha Chatterjee</v>
      </c>
      <c r="K44" s="60" t="str">
        <f>IFERROR(INDEX(tblFaculty[Department],MATCH(SMALL(tblFaculty[Rank Key],$I44),tblFaculty[Rank Key],0)),"-")</f>
        <v>CE</v>
      </c>
      <c r="L44" s="62">
        <f>IFERROR(INDEX(tblFaculty[Student Feedback],MATCH(SMALL(tblFaculty[Rank Key],$I44),tblFaculty[Rank Key],0)),"-")</f>
        <v>3.58</v>
      </c>
      <c r="M44" s="61">
        <f>IFERROR(INDEX(tblFaculty[Research Papers],MATCH(SMALL(tblFaculty[Rank Key],$I44),tblFaculty[Rank Key],0)),"-")</f>
        <v>0</v>
      </c>
      <c r="N44" s="72">
        <f>IFERROR(INDEX(tblFaculty[Performance Score],MATCH(SMALL(tblFaculty[Rank Key],$I44),tblFaculty[Rank Key],0)),"-")</f>
        <v>56.1</v>
      </c>
      <c r="O44" s="4" t="n"/>
    </row>
    <row r="45">
      <c r="A45" s="4" t="n"/>
      <c r="B45" s="42" t="n">
        <v>2</v>
      </c>
      <c r="C45" s="63" t="str">
        <f>IFERROR(INDEX(tblFaculty[Faculty Name],MATCH(LARGE(tblFaculty[Rank Key],$B45),tblFaculty[Rank Key],0)),"-")</f>
        <v>Dr. Usha Shah</v>
      </c>
      <c r="D45" s="64" t="str">
        <f>IFERROR(INDEX(tblFaculty[Department],MATCH(LARGE(tblFaculty[Rank Key],$B45),tblFaculty[Rank Key],0)),"-")</f>
        <v>ME</v>
      </c>
      <c r="E45" s="66">
        <f>IFERROR(INDEX(tblFaculty[Student Feedback],MATCH(LARGE(tblFaculty[Rank Key],$B45),tblFaculty[Rank Key],0)),"-")</f>
        <v>4.71</v>
      </c>
      <c r="F45" s="65">
        <f>IFERROR(INDEX(tblFaculty[Research Papers],MATCH(LARGE(tblFaculty[Rank Key],$B45),tblFaculty[Rank Key],0)),"-")</f>
        <v>9</v>
      </c>
      <c r="G45" s="73">
        <f>IFERROR(INDEX(tblFaculty[Performance Score],MATCH(LARGE(tblFaculty[Rank Key],$B45),tblFaculty[Rank Key],0)),"-")</f>
        <v>92</v>
      </c>
      <c r="H45" s="4" t="n"/>
      <c r="I45" s="42" t="n">
        <v>2</v>
      </c>
      <c r="J45" s="63" t="str">
        <f>IFERROR(INDEX(tblFaculty[Faculty Name],MATCH(SMALL(tblFaculty[Rank Key],$I45),tblFaculty[Rank Key],0)),"-")</f>
        <v>Mr. Neeta Thakur</v>
      </c>
      <c r="K45" s="64" t="str">
        <f>IFERROR(INDEX(tblFaculty[Department],MATCH(SMALL(tblFaculty[Rank Key],$I45),tblFaculty[Rank Key],0)),"-")</f>
        <v>CSE</v>
      </c>
      <c r="L45" s="66">
        <f>IFERROR(INDEX(tblFaculty[Student Feedback],MATCH(SMALL(tblFaculty[Rank Key],$I45),tblFaculty[Rank Key],0)),"-")</f>
        <v>3.53</v>
      </c>
      <c r="M45" s="65">
        <f>IFERROR(INDEX(tblFaculty[Research Papers],MATCH(SMALL(tblFaculty[Rank Key],$I45),tblFaculty[Rank Key],0)),"-")</f>
        <v>2</v>
      </c>
      <c r="N45" s="73">
        <f>IFERROR(INDEX(tblFaculty[Performance Score],MATCH(SMALL(tblFaculty[Rank Key],$I45),tblFaculty[Rank Key],0)),"-")</f>
        <v>60.9</v>
      </c>
      <c r="O45" s="4" t="n"/>
    </row>
    <row r="46">
      <c r="A46" s="4" t="n"/>
      <c r="B46" s="33" t="n">
        <v>3</v>
      </c>
      <c r="C46" s="59" t="str">
        <f>IFERROR(INDEX(tblFaculty[Faculty Name],MATCH(LARGE(tblFaculty[Rank Key],$B46),tblFaculty[Rank Key],0)),"-")</f>
        <v>Dr. Pradeep Srivastava</v>
      </c>
      <c r="D46" s="60" t="str">
        <f>IFERROR(INDEX(tblFaculty[Department],MATCH(LARGE(tblFaculty[Rank Key],$B46),tblFaculty[Rank Key],0)),"-")</f>
        <v>CE</v>
      </c>
      <c r="E46" s="62">
        <f>IFERROR(INDEX(tblFaculty[Student Feedback],MATCH(LARGE(tblFaculty[Rank Key],$B46),tblFaculty[Rank Key],0)),"-")</f>
        <v>4.4</v>
      </c>
      <c r="F46" s="61">
        <f>IFERROR(INDEX(tblFaculty[Research Papers],MATCH(LARGE(tblFaculty[Rank Key],$B46),tblFaculty[Rank Key],0)),"-")</f>
        <v>11</v>
      </c>
      <c r="G46" s="72">
        <f>IFERROR(INDEX(tblFaculty[Performance Score],MATCH(LARGE(tblFaculty[Rank Key],$B46),tblFaculty[Rank Key],0)),"-")</f>
        <v>91.5</v>
      </c>
      <c r="H46" s="4" t="n"/>
      <c r="I46" s="33" t="n">
        <v>3</v>
      </c>
      <c r="J46" s="59" t="str">
        <f>IFERROR(INDEX(tblFaculty[Faculty Name],MATCH(SMALL(tblFaculty[Rank Key],$I46),tblFaculty[Rank Key],0)),"-")</f>
        <v>Prof. Vinod Thakur</v>
      </c>
      <c r="K46" s="60" t="str">
        <f>IFERROR(INDEX(tblFaculty[Department],MATCH(SMALL(tblFaculty[Rank Key],$I46),tblFaculty[Rank Key],0)),"-")</f>
        <v>CSE</v>
      </c>
      <c r="L46" s="62">
        <f>IFERROR(INDEX(tblFaculty[Student Feedback],MATCH(SMALL(tblFaculty[Rank Key],$I46),tblFaculty[Rank Key],0)),"-")</f>
        <v>3.99</v>
      </c>
      <c r="M46" s="61">
        <f>IFERROR(INDEX(tblFaculty[Research Papers],MATCH(SMALL(tblFaculty[Rank Key],$I46),tblFaculty[Rank Key],0)),"-")</f>
        <v>0</v>
      </c>
      <c r="N46" s="72">
        <f>IFERROR(INDEX(tblFaculty[Performance Score],MATCH(SMALL(tblFaculty[Rank Key],$I46),tblFaculty[Rank Key],0)),"-")</f>
        <v>62</v>
      </c>
      <c r="O46" s="4" t="n"/>
    </row>
    <row r="47">
      <c r="A47" s="4" t="n"/>
      <c r="B47" s="42" t="n">
        <v>4</v>
      </c>
      <c r="C47" s="63" t="str">
        <f>IFERROR(INDEX(tblFaculty[Faculty Name],MATCH(LARGE(tblFaculty[Rank Key],$B47),tblFaculty[Rank Key],0)),"-")</f>
        <v>Dr. Arvind Sharma</v>
      </c>
      <c r="D47" s="64" t="str">
        <f>IFERROR(INDEX(tblFaculty[Department],MATCH(LARGE(tblFaculty[Rank Key],$B47),tblFaculty[Rank Key],0)),"-")</f>
        <v>CE</v>
      </c>
      <c r="E47" s="66">
        <f>IFERROR(INDEX(tblFaculty[Student Feedback],MATCH(LARGE(tblFaculty[Rank Key],$B47),tblFaculty[Rank Key],0)),"-")</f>
        <v>4.13</v>
      </c>
      <c r="F47" s="65">
        <f>IFERROR(INDEX(tblFaculty[Research Papers],MATCH(LARGE(tblFaculty[Rank Key],$B47),tblFaculty[Rank Key],0)),"-")</f>
        <v>9</v>
      </c>
      <c r="G47" s="73">
        <f>IFERROR(INDEX(tblFaculty[Performance Score],MATCH(LARGE(tblFaculty[Rank Key],$B47),tblFaculty[Rank Key],0)),"-")</f>
        <v>90.5</v>
      </c>
      <c r="H47" s="4" t="n"/>
      <c r="I47" s="42" t="n">
        <v>4</v>
      </c>
      <c r="J47" s="63" t="str">
        <f>IFERROR(INDEX(tblFaculty[Faculty Name],MATCH(SMALL(tblFaculty[Rank Key],$I47),tblFaculty[Rank Key],0)),"-")</f>
        <v>Prof. Sanjay Ansari</v>
      </c>
      <c r="K47" s="64" t="str">
        <f>IFERROR(INDEX(tblFaculty[Department],MATCH(SMALL(tblFaculty[Rank Key],$I47),tblFaculty[Rank Key],0)),"-")</f>
        <v>IT</v>
      </c>
      <c r="L47" s="66">
        <f>IFERROR(INDEX(tblFaculty[Student Feedback],MATCH(SMALL(tblFaculty[Rank Key],$I47),tblFaculty[Rank Key],0)),"-")</f>
        <v>3.94</v>
      </c>
      <c r="M47" s="65">
        <f>IFERROR(INDEX(tblFaculty[Research Papers],MATCH(SMALL(tblFaculty[Rank Key],$I47),tblFaculty[Rank Key],0)),"-")</f>
        <v>0</v>
      </c>
      <c r="N47" s="73">
        <f>IFERROR(INDEX(tblFaculty[Performance Score],MATCH(SMALL(tblFaculty[Rank Key],$I47),tblFaculty[Rank Key],0)),"-")</f>
        <v>63.7</v>
      </c>
      <c r="O47" s="4" t="n"/>
    </row>
    <row r="48">
      <c r="A48" s="4" t="n"/>
      <c r="B48" s="33" t="n">
        <v>5</v>
      </c>
      <c r="C48" s="59" t="str">
        <f>IFERROR(INDEX(tblFaculty[Faculty Name],MATCH(LARGE(tblFaculty[Rank Key],$B48),tblFaculty[Rank Key],0)),"-")</f>
        <v>Dr. Madhu Ansari</v>
      </c>
      <c r="D48" s="60" t="str">
        <f>IFERROR(INDEX(tblFaculty[Department],MATCH(LARGE(tblFaculty[Rank Key],$B48),tblFaculty[Rank Key],0)),"-")</f>
        <v>ME</v>
      </c>
      <c r="E48" s="62">
        <f>IFERROR(INDEX(tblFaculty[Student Feedback],MATCH(LARGE(tblFaculty[Rank Key],$B48),tblFaculty[Rank Key],0)),"-")</f>
        <v>4.3</v>
      </c>
      <c r="F48" s="61">
        <f>IFERROR(INDEX(tblFaculty[Research Papers],MATCH(LARGE(tblFaculty[Rank Key],$B48),tblFaculty[Rank Key],0)),"-")</f>
        <v>10</v>
      </c>
      <c r="G48" s="72">
        <f>IFERROR(INDEX(tblFaculty[Performance Score],MATCH(LARGE(tblFaculty[Rank Key],$B48),tblFaculty[Rank Key],0)),"-")</f>
        <v>90.2</v>
      </c>
      <c r="H48" s="4" t="n"/>
      <c r="I48" s="33" t="n">
        <v>5</v>
      </c>
      <c r="J48" s="59" t="str">
        <f>IFERROR(INDEX(tblFaculty[Faculty Name],MATCH(SMALL(tblFaculty[Rank Key],$I48),tblFaculty[Rank Key],0)),"-")</f>
        <v>Prof. Renu Reddy</v>
      </c>
      <c r="K48" s="60" t="str">
        <f>IFERROR(INDEX(tblFaculty[Department],MATCH(SMALL(tblFaculty[Rank Key],$I48),tblFaculty[Rank Key],0)),"-")</f>
        <v>CSE</v>
      </c>
      <c r="L48" s="62">
        <f>IFERROR(INDEX(tblFaculty[Student Feedback],MATCH(SMALL(tblFaculty[Rank Key],$I48),tblFaculty[Rank Key],0)),"-")</f>
        <v>3.95</v>
      </c>
      <c r="M48" s="61">
        <f>IFERROR(INDEX(tblFaculty[Research Papers],MATCH(SMALL(tblFaculty[Rank Key],$I48),tblFaculty[Rank Key],0)),"-")</f>
        <v>1</v>
      </c>
      <c r="N48" s="72">
        <f>IFERROR(INDEX(tblFaculty[Performance Score],MATCH(SMALL(tblFaculty[Rank Key],$I48),tblFaculty[Rank Key],0)),"-")</f>
        <v>66.8</v>
      </c>
      <c r="O48" s="4" t="n"/>
    </row>
    <row r="49">
      <c r="A49" s="4" t="n"/>
      <c r="B49" s="42" t="n">
        <v>6</v>
      </c>
      <c r="C49" s="63" t="str">
        <f>IFERROR(INDEX(tblFaculty[Faculty Name],MATCH(LARGE(tblFaculty[Rank Key],$B49),tblFaculty[Rank Key],0)),"-")</f>
        <v>Dr. Dinesh Gupta</v>
      </c>
      <c r="D49" s="64" t="str">
        <f>IFERROR(INDEX(tblFaculty[Department],MATCH(LARGE(tblFaculty[Rank Key],$B49),tblFaculty[Rank Key],0)),"-")</f>
        <v>ME</v>
      </c>
      <c r="E49" s="66">
        <f>IFERROR(INDEX(tblFaculty[Student Feedback],MATCH(LARGE(tblFaculty[Rank Key],$B49),tblFaculty[Rank Key],0)),"-")</f>
        <v>3.97</v>
      </c>
      <c r="F49" s="65">
        <f>IFERROR(INDEX(tblFaculty[Research Papers],MATCH(LARGE(tblFaculty[Rank Key],$B49),tblFaculty[Rank Key],0)),"-")</f>
        <v>19</v>
      </c>
      <c r="G49" s="73">
        <f>IFERROR(INDEX(tblFaculty[Performance Score],MATCH(LARGE(tblFaculty[Rank Key],$B49),tblFaculty[Rank Key],0)),"-")</f>
        <v>88.3</v>
      </c>
      <c r="H49" s="4" t="n"/>
      <c r="I49" s="42" t="n">
        <v>6</v>
      </c>
      <c r="J49" s="63" t="str">
        <f>IFERROR(INDEX(tblFaculty[Faculty Name],MATCH(SMALL(tblFaculty[Rank Key],$I49),tblFaculty[Rank Key],0)),"-")</f>
        <v>Prof. Ramesh Saxena</v>
      </c>
      <c r="K49" s="64" t="str">
        <f>IFERROR(INDEX(tblFaculty[Department],MATCH(SMALL(tblFaculty[Rank Key],$I49),tblFaculty[Rank Key],0)),"-")</f>
        <v>CE</v>
      </c>
      <c r="L49" s="66">
        <f>IFERROR(INDEX(tblFaculty[Student Feedback],MATCH(SMALL(tblFaculty[Rank Key],$I49),tblFaculty[Rank Key],0)),"-")</f>
        <v>3.93</v>
      </c>
      <c r="M49" s="65">
        <f>IFERROR(INDEX(tblFaculty[Research Papers],MATCH(SMALL(tblFaculty[Rank Key],$I49),tblFaculty[Rank Key],0)),"-")</f>
        <v>2</v>
      </c>
      <c r="N49" s="73">
        <f>IFERROR(INDEX(tblFaculty[Performance Score],MATCH(SMALL(tblFaculty[Rank Key],$I49),tblFaculty[Rank Key],0)),"-")</f>
        <v>67.5</v>
      </c>
      <c r="O49" s="4" t="n"/>
    </row>
    <row r="50">
      <c r="A50" s="4" t="n"/>
      <c r="B50" s="33" t="n">
        <v>7</v>
      </c>
      <c r="C50" s="59" t="str">
        <f>IFERROR(INDEX(tblFaculty[Faculty Name],MATCH(LARGE(tblFaculty[Rank Key],$B50),tblFaculty[Rank Key],0)),"-")</f>
        <v>Dr. Sunil Sharma</v>
      </c>
      <c r="D50" s="60" t="str">
        <f>IFERROR(INDEX(tblFaculty[Department],MATCH(LARGE(tblFaculty[Rank Key],$B50),tblFaculty[Rank Key],0)),"-")</f>
        <v>CE</v>
      </c>
      <c r="E50" s="62">
        <f>IFERROR(INDEX(tblFaculty[Student Feedback],MATCH(LARGE(tblFaculty[Rank Key],$B50),tblFaculty[Rank Key],0)),"-")</f>
        <v>3.99</v>
      </c>
      <c r="F50" s="61">
        <f>IFERROR(INDEX(tblFaculty[Research Papers],MATCH(LARGE(tblFaculty[Rank Key],$B50),tblFaculty[Rank Key],0)),"-")</f>
        <v>11</v>
      </c>
      <c r="G50" s="72">
        <f>IFERROR(INDEX(tblFaculty[Performance Score],MATCH(LARGE(tblFaculty[Rank Key],$B50),tblFaculty[Rank Key],0)),"-")</f>
        <v>86.9</v>
      </c>
      <c r="H50" s="4" t="n"/>
      <c r="I50" s="33" t="n">
        <v>7</v>
      </c>
      <c r="J50" s="59" t="str">
        <f>IFERROR(INDEX(tblFaculty[Faculty Name],MATCH(SMALL(tblFaculty[Rank Key],$I50),tblFaculty[Rank Key],0)),"-")</f>
        <v>Prof. Sunita Banerjee</v>
      </c>
      <c r="K50" s="60" t="str">
        <f>IFERROR(INDEX(tblFaculty[Department],MATCH(SMALL(tblFaculty[Rank Key],$I50),tblFaculty[Rank Key],0)),"-")</f>
        <v>IT</v>
      </c>
      <c r="L50" s="62">
        <f>IFERROR(INDEX(tblFaculty[Student Feedback],MATCH(SMALL(tblFaculty[Rank Key],$I50),tblFaculty[Rank Key],0)),"-")</f>
        <v>4.51</v>
      </c>
      <c r="M50" s="61">
        <f>IFERROR(INDEX(tblFaculty[Research Papers],MATCH(SMALL(tblFaculty[Rank Key],$I50),tblFaculty[Rank Key],0)),"-")</f>
        <v>0</v>
      </c>
      <c r="N50" s="72">
        <f>IFERROR(INDEX(tblFaculty[Performance Score],MATCH(SMALL(tblFaculty[Rank Key],$I50),tblFaculty[Rank Key],0)),"-")</f>
        <v>68.1</v>
      </c>
      <c r="O50" s="4" t="n"/>
    </row>
    <row r="51">
      <c r="A51" s="4" t="n"/>
      <c r="B51" s="42" t="n">
        <v>8</v>
      </c>
      <c r="C51" s="63" t="str">
        <f>IFERROR(INDEX(tblFaculty[Faculty Name],MATCH(LARGE(tblFaculty[Rank Key],$B51),tblFaculty[Rank Key],0)),"-")</f>
        <v>Dr. Rakesh Banerjee</v>
      </c>
      <c r="D51" s="64" t="str">
        <f>IFERROR(INDEX(tblFaculty[Department],MATCH(LARGE(tblFaculty[Rank Key],$B51),tblFaculty[Rank Key],0)),"-")</f>
        <v>IT</v>
      </c>
      <c r="E51" s="66">
        <f>IFERROR(INDEX(tblFaculty[Student Feedback],MATCH(LARGE(tblFaculty[Rank Key],$B51),tblFaculty[Rank Key],0)),"-")</f>
        <v>3.82</v>
      </c>
      <c r="F51" s="65">
        <f>IFERROR(INDEX(tblFaculty[Research Papers],MATCH(LARGE(tblFaculty[Rank Key],$B51),tblFaculty[Rank Key],0)),"-")</f>
        <v>12</v>
      </c>
      <c r="G51" s="73">
        <f>IFERROR(INDEX(tblFaculty[Performance Score],MATCH(LARGE(tblFaculty[Rank Key],$B51),tblFaculty[Rank Key],0)),"-")</f>
        <v>86.2</v>
      </c>
      <c r="H51" s="4" t="n"/>
      <c r="I51" s="42" t="n">
        <v>8</v>
      </c>
      <c r="J51" s="63" t="str">
        <f>IFERROR(INDEX(tblFaculty[Faculty Name],MATCH(SMALL(tblFaculty[Rank Key],$I51),tblFaculty[Rank Key],0)),"-")</f>
        <v>Mr. Nisha Dubey</v>
      </c>
      <c r="K51" s="64" t="str">
        <f>IFERROR(INDEX(tblFaculty[Department],MATCH(SMALL(tblFaculty[Rank Key],$I51),tblFaculty[Rank Key],0)),"-")</f>
        <v>CE</v>
      </c>
      <c r="L51" s="66">
        <f>IFERROR(INDEX(tblFaculty[Student Feedback],MATCH(SMALL(tblFaculty[Rank Key],$I51),tblFaculty[Rank Key],0)),"-")</f>
        <v>4.55</v>
      </c>
      <c r="M51" s="65">
        <f>IFERROR(INDEX(tblFaculty[Research Papers],MATCH(SMALL(tblFaculty[Rank Key],$I51),tblFaculty[Rank Key],0)),"-")</f>
        <v>2</v>
      </c>
      <c r="N51" s="73">
        <f>IFERROR(INDEX(tblFaculty[Performance Score],MATCH(SMALL(tblFaculty[Rank Key],$I51),tblFaculty[Rank Key],0)),"-")</f>
        <v>68.1</v>
      </c>
      <c r="O51" s="4" t="n"/>
    </row>
    <row r="52">
      <c r="A52" s="4" t="n"/>
      <c r="B52" s="33" t="n">
        <v>9</v>
      </c>
      <c r="C52" s="59" t="str">
        <f>IFERROR(INDEX(tblFaculty[Faculty Name],MATCH(LARGE(tblFaculty[Rank Key],$B52),tblFaculty[Rank Key],0)),"-")</f>
        <v>Dr. Mamta Reddy</v>
      </c>
      <c r="D52" s="60" t="str">
        <f>IFERROR(INDEX(tblFaculty[Department],MATCH(LARGE(tblFaculty[Rank Key],$B52),tblFaculty[Rank Key],0)),"-")</f>
        <v>ECE</v>
      </c>
      <c r="E52" s="62">
        <f>IFERROR(INDEX(tblFaculty[Student Feedback],MATCH(LARGE(tblFaculty[Rank Key],$B52),tblFaculty[Rank Key],0)),"-")</f>
        <v>4.11</v>
      </c>
      <c r="F52" s="61">
        <f>IFERROR(INDEX(tblFaculty[Research Papers],MATCH(LARGE(tblFaculty[Rank Key],$B52),tblFaculty[Rank Key],0)),"-")</f>
        <v>8</v>
      </c>
      <c r="G52" s="72">
        <f>IFERROR(INDEX(tblFaculty[Performance Score],MATCH(LARGE(tblFaculty[Rank Key],$B52),tblFaculty[Rank Key],0)),"-")</f>
        <v>86</v>
      </c>
      <c r="H52" s="4" t="n"/>
      <c r="I52" s="33" t="n">
        <v>9</v>
      </c>
      <c r="J52" s="59" t="str">
        <f>IFERROR(INDEX(tblFaculty[Faculty Name],MATCH(SMALL(tblFaculty[Rank Key],$I52),tblFaculty[Rank Key],0)),"-")</f>
        <v>Prof. Alok Goel</v>
      </c>
      <c r="K52" s="60" t="str">
        <f>IFERROR(INDEX(tblFaculty[Department],MATCH(SMALL(tblFaculty[Rank Key],$I52),tblFaculty[Rank Key],0)),"-")</f>
        <v>CSE</v>
      </c>
      <c r="L52" s="62">
        <f>IFERROR(INDEX(tblFaculty[Student Feedback],MATCH(SMALL(tblFaculty[Rank Key],$I52),tblFaculty[Rank Key],0)),"-")</f>
        <v>4</v>
      </c>
      <c r="M52" s="61">
        <f>IFERROR(INDEX(tblFaculty[Research Papers],MATCH(SMALL(tblFaculty[Rank Key],$I52),tblFaculty[Rank Key],0)),"-")</f>
        <v>4</v>
      </c>
      <c r="N52" s="72">
        <f>IFERROR(INDEX(tblFaculty[Performance Score],MATCH(SMALL(tblFaculty[Rank Key],$I52),tblFaculty[Rank Key],0)),"-")</f>
        <v>68.4</v>
      </c>
      <c r="O52" s="4" t="n"/>
    </row>
    <row r="53">
      <c r="A53" s="4" t="n"/>
      <c r="B53" s="42" t="n">
        <v>10</v>
      </c>
      <c r="C53" s="63" t="str">
        <f>IFERROR(INDEX(tblFaculty[Faculty Name],MATCH(LARGE(tblFaculty[Rank Key],$B53),tblFaculty[Rank Key],0)),"-")</f>
        <v>Dr. Poonam Agarwal</v>
      </c>
      <c r="D53" s="64" t="str">
        <f>IFERROR(INDEX(tblFaculty[Department],MATCH(LARGE(tblFaculty[Rank Key],$B53),tblFaculty[Rank Key],0)),"-")</f>
        <v>ME</v>
      </c>
      <c r="E53" s="66">
        <f>IFERROR(INDEX(tblFaculty[Student Feedback],MATCH(LARGE(tblFaculty[Rank Key],$B53),tblFaculty[Rank Key],0)),"-")</f>
        <v>3.76</v>
      </c>
      <c r="F53" s="65">
        <f>IFERROR(INDEX(tblFaculty[Research Papers],MATCH(LARGE(tblFaculty[Rank Key],$B53),tblFaculty[Rank Key],0)),"-")</f>
        <v>10</v>
      </c>
      <c r="G53" s="73">
        <f>IFERROR(INDEX(tblFaculty[Performance Score],MATCH(LARGE(tblFaculty[Rank Key],$B53),tblFaculty[Rank Key],0)),"-")</f>
        <v>84.2</v>
      </c>
      <c r="H53" s="4" t="n"/>
      <c r="I53" s="42" t="n">
        <v>10</v>
      </c>
      <c r="J53" s="63" t="str">
        <f>IFERROR(INDEX(tblFaculty[Faculty Name],MATCH(SMALL(tblFaculty[Rank Key],$I53),tblFaculty[Rank Key],0)),"-")</f>
        <v>Prof. Shalini Patel</v>
      </c>
      <c r="K53" s="64" t="str">
        <f>IFERROR(INDEX(tblFaculty[Department],MATCH(SMALL(tblFaculty[Rank Key],$I53),tblFaculty[Rank Key],0)),"-")</f>
        <v>ECE</v>
      </c>
      <c r="L53" s="66">
        <f>IFERROR(INDEX(tblFaculty[Student Feedback],MATCH(SMALL(tblFaculty[Rank Key],$I53),tblFaculty[Rank Key],0)),"-")</f>
        <v>4.64</v>
      </c>
      <c r="M53" s="65">
        <f>IFERROR(INDEX(tblFaculty[Research Papers],MATCH(SMALL(tblFaculty[Rank Key],$I53),tblFaculty[Rank Key],0)),"-")</f>
        <v>1</v>
      </c>
      <c r="N53" s="73">
        <f>IFERROR(INDEX(tblFaculty[Performance Score],MATCH(SMALL(tblFaculty[Rank Key],$I53),tblFaculty[Rank Key],0)),"-")</f>
        <v>68.6</v>
      </c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 ht="28" customHeight="1">
      <c r="A55" s="4" t="n"/>
      <c r="B55" s="52" t="inlineStr">
        <is>
          <t>Rating bands: Outstanding ≥ 85, Very Good ≥ 75, Good ≥ 65, otherwise Needs Improvement. Ranks respect the active filters.</t>
        </is>
      </c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2">
    <mergeCell ref="E10:G10"/>
    <mergeCell ref="B42:G42"/>
    <mergeCell ref="B3:C3"/>
    <mergeCell ref="B55:N55"/>
    <mergeCell ref="B10:D10"/>
    <mergeCell ref="L10:N10"/>
    <mergeCell ref="I5:N5"/>
    <mergeCell ref="I42:N42"/>
    <mergeCell ref="E8:G9"/>
    <mergeCell ref="E7:G7"/>
    <mergeCell ref="B8:D9"/>
    <mergeCell ref="I3:J3"/>
    <mergeCell ref="I10:K10"/>
    <mergeCell ref="L8:N9"/>
    <mergeCell ref="M3:N3"/>
    <mergeCell ref="B7:D7"/>
    <mergeCell ref="B2:N2"/>
    <mergeCell ref="L7:N7"/>
    <mergeCell ref="B1:N1"/>
    <mergeCell ref="I8:K9"/>
    <mergeCell ref="I7:K7"/>
    <mergeCell ref="K3:L3"/>
  </mergeCells>
  <conditionalFormatting sqref="I8">
    <cfRule type="cellIs" priority="1" operator="lessThan" dxfId="0">
      <formula>p_Rate2</formula>
    </cfRule>
    <cfRule type="cellIs" priority="2" operator="greaterThanOrEqual" dxfId="1">
      <formula>p_Rate2</formula>
    </cfRule>
  </conditionalFormatting>
  <conditionalFormatting sqref="F44:G53">
    <cfRule type="cellIs" priority="3" operator="notEqual" dxfId="3">
      <formula>"-"</formula>
    </cfRule>
  </conditionalFormatting>
  <conditionalFormatting sqref="M44:N53">
    <cfRule type="cellIs" priority="4" operator="notEqual" dxfId="2">
      <formula>"-"</formula>
    </cfRule>
  </conditionalFormatting>
  <dataValidations count="2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=Lists!$G$4:$G$8</formula1>
    </dataValidation>
  </dataValidations>
  <hyperlinks>
    <hyperlink ref="B3" location="'Overview'!A1" display="« Overview"/>
    <hyperlink ref="D3" location="'Student Dashboard'!A1" display="Students"/>
    <hyperlink ref="E3" location="'Attendance Dashboard'!A1" display="Attendance"/>
    <hyperlink ref="G3" location="'Placement Dashboard'!A1" display="Placements"/>
    <hyperlink ref="I3" location="'Course Dashboard'!A1" display="Courses"/>
    <hyperlink ref="K3" location="'Instructions'!A1" display="Instructions"/>
    <hyperlink ref="M3" location="'Faculty'!A1" display="Data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Placement Analytics</t>
        </is>
      </c>
      <c r="O1" s="1" t="n"/>
    </row>
    <row r="2" ht="18" customHeight="1">
      <c r="A2" s="1" t="n"/>
      <c r="B2" s="3" t="inlineStr">
        <is>
          <t>Placement rate, packages, sectors and recruiters  |  source: tblPlacements</t>
        </is>
      </c>
      <c r="O2" s="1" t="n"/>
    </row>
    <row r="3" ht="22" customHeight="1">
      <c r="A3" s="4" t="n"/>
      <c r="B3" s="7" t="inlineStr">
        <is>
          <t>« Overview</t>
        </is>
      </c>
      <c r="C3" s="8" t="n"/>
      <c r="D3" s="7" t="inlineStr">
        <is>
          <t>Students</t>
        </is>
      </c>
      <c r="E3" s="7" t="inlineStr">
        <is>
          <t>Attendance</t>
        </is>
      </c>
      <c r="F3" s="7" t="inlineStr">
        <is>
          <t>Faculty</t>
        </is>
      </c>
      <c r="G3" s="5" t="inlineStr">
        <is>
          <t>Placements</t>
        </is>
      </c>
      <c r="H3" s="4" t="n"/>
      <c r="I3" s="7" t="inlineStr">
        <is>
          <t>Courses</t>
        </is>
      </c>
      <c r="J3" s="8" t="n"/>
      <c r="K3" s="7" t="inlineStr">
        <is>
          <t>Instructions</t>
        </is>
      </c>
      <c r="L3" s="8" t="n"/>
      <c r="M3" s="7" t="inlineStr">
        <is>
          <t>Data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Year</t>
        </is>
      </c>
      <c r="E5" s="10" t="inlineStr">
        <is>
          <t>All</t>
        </is>
      </c>
      <c r="F5" s="4" t="n"/>
      <c r="G5" s="4" t="n"/>
      <c r="H5" s="4" t="n"/>
      <c r="I5" s="11" t="inlineStr">
        <is>
          <t>Choose 'All' to clear a filter. Packages are in Lakhs Per Annum (LPA). Branch-comparison charts ignore the Branch filter.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STUDENTS REGISTERED</t>
        </is>
      </c>
      <c r="C7" s="13" t="n"/>
      <c r="D7" s="14" t="n"/>
      <c r="E7" s="15" t="inlineStr">
        <is>
          <t>PLACEMENT RATE</t>
        </is>
      </c>
      <c r="F7" s="16" t="n"/>
      <c r="G7" s="17" t="n"/>
      <c r="H7" s="4" t="n"/>
      <c r="I7" s="18" t="inlineStr">
        <is>
          <t>AVERAGE PACKAGE (LPA)</t>
        </is>
      </c>
      <c r="J7" s="19" t="n"/>
      <c r="K7" s="20" t="n"/>
      <c r="L7" s="21" t="inlineStr">
        <is>
          <t>HIGHEST PACKAGE (LPA)</t>
        </is>
      </c>
      <c r="M7" s="22" t="n"/>
      <c r="N7" s="23" t="n"/>
      <c r="O7" s="4" t="n"/>
    </row>
    <row r="8" ht="22" customHeight="1">
      <c r="A8" s="4" t="n"/>
      <c r="B8" s="24">
        <f>COUNTIFS(tblPlacements[Branch],cPl_B,tblPlacements[Year],cPl_Y)</f>
        <v>150</v>
      </c>
      <c r="D8" s="25" t="n"/>
      <c r="E8" s="26">
        <f>IFERROR(COUNTIFS(tblPlacements[Branch],cPl_B,tblPlacements[Year],cPl_Y,tblPlacements[Status],"Placed")/COUNTIFS(tblPlacements[Branch],cPl_B,tblPlacements[Year],cPl_Y),0)</f>
        <v>0.76</v>
      </c>
      <c r="G8" s="25" t="n"/>
      <c r="H8" s="4" t="n"/>
      <c r="I8" s="27">
        <f>IFERROR(AVERAGEIFS(tblPlacements[Package LPA],tblPlacements[Branch],cPl_B,tblPlacements[Year],cPl_Y,tblPlacements[Status],"Placed"),0)</f>
        <v>9.64824561403509</v>
      </c>
      <c r="K8" s="25" t="n"/>
      <c r="L8" s="27">
        <f>_xlfn.MAXIFS(tblPlacements[Package LPA],tblPlacements[Branch],cPl_B,tblPlacements[Year],cPl_Y)</f>
        <v>44.4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"Placed: "&amp;COUNTIFS(tblPlacements[Branch],cPl_B,tblPlacements[Year],cPl_Y,tblPlacements[Status],"Placed")&amp;"  |  Not placed: "&amp;(COUNTIFS(tblPlacements[Branch],cPl_B,tblPlacements[Year],cPl_Y)-COUNTIFS(tblPlacements[Branch],cPl_B,tblPlacements[Year],cPl_Y,tblPlacements[Status],"Placed"))</f>
        <v>Placed: 114  |  Not placed: 36</v>
      </c>
      <c r="D10" s="25" t="n"/>
      <c r="E10" s="29" t="str">
        <f>"Placed ÷ registered"</f>
        <v>Placed ÷ registered</v>
      </c>
      <c r="G10" s="25" t="n"/>
      <c r="H10" s="4" t="n"/>
      <c r="I10" s="29" t="str">
        <f>"Avg CGPA of placed: "&amp;TEXT(IFERROR(AVERAGEIFS(tblPlacements[CGPA],tblPlacements[Branch],cPl_B,tblPlacements[Year],cPl_Y,tblPlacements[Status],"Placed"),0),"0.00")</f>
        <v>Avg CGPA of placed: 7.68</v>
      </c>
      <c r="K10" s="25" t="n"/>
      <c r="L10" s="29" t="str">
        <f>"Companies visited: "&amp;SUMPRODUCT((tblPlacements[Company]&lt;&gt;"")/COUNTIF(tblPlacements[Company],tblPlacements[Company]&amp;""))&amp;" (all years)"</f>
        <v>Companies visited: 26 (all years)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54" t="inlineStr">
        <is>
          <t>▲ TOP 10 PACKAGES</t>
        </is>
      </c>
      <c r="C42" s="55" t="n"/>
      <c r="D42" s="55" t="n"/>
      <c r="E42" s="55" t="n"/>
      <c r="F42" s="55" t="n"/>
      <c r="G42" s="55" t="n"/>
      <c r="H42" s="4" t="n"/>
      <c r="I42" s="56" t="inlineStr">
        <is>
          <t>▼ LOWEST 10 PACKAGES (PLACED)</t>
        </is>
      </c>
      <c r="J42" s="57" t="n"/>
      <c r="K42" s="57" t="n"/>
      <c r="L42" s="57" t="n"/>
      <c r="M42" s="57" t="n"/>
      <c r="N42" s="57" t="n"/>
      <c r="O42" s="4" t="n"/>
    </row>
    <row r="43" ht="24" customHeight="1">
      <c r="A43" s="4" t="n"/>
      <c r="B43" s="58" t="inlineStr">
        <is>
          <t>#</t>
        </is>
      </c>
      <c r="C43" s="58" t="inlineStr">
        <is>
          <t>Student</t>
        </is>
      </c>
      <c r="D43" s="58" t="inlineStr">
        <is>
          <t>Branch</t>
        </is>
      </c>
      <c r="E43" s="58" t="inlineStr">
        <is>
          <t>Company</t>
        </is>
      </c>
      <c r="F43" s="58" t="inlineStr">
        <is>
          <t>LPA</t>
        </is>
      </c>
      <c r="G43" s="58" t="inlineStr">
        <is>
          <t>CGPA</t>
        </is>
      </c>
      <c r="H43" s="4" t="n"/>
      <c r="I43" s="58" t="inlineStr">
        <is>
          <t>#</t>
        </is>
      </c>
      <c r="J43" s="58" t="inlineStr">
        <is>
          <t>Student</t>
        </is>
      </c>
      <c r="K43" s="58" t="inlineStr">
        <is>
          <t>Branch</t>
        </is>
      </c>
      <c r="L43" s="58" t="inlineStr">
        <is>
          <t>Company</t>
        </is>
      </c>
      <c r="M43" s="58" t="inlineStr">
        <is>
          <t>LPA</t>
        </is>
      </c>
      <c r="N43" s="58" t="inlineStr">
        <is>
          <t>CGPA</t>
        </is>
      </c>
      <c r="O43" s="4" t="n"/>
    </row>
    <row r="44">
      <c r="A44" s="4" t="n"/>
      <c r="B44" s="33" t="n">
        <v>1</v>
      </c>
      <c r="C44" s="59" t="str">
        <f>IFERROR(INDEX(tblPlacements[Student Name],MATCH(LARGE(tblPlacements[Rank Key],$B44),tblPlacements[Rank Key],0)),"-")</f>
        <v>Nandini Rawat</v>
      </c>
      <c r="D44" s="60" t="str">
        <f>IFERROR(INDEX(tblPlacements[Branch],MATCH(LARGE(tblPlacements[Rank Key],$B44),tblPlacements[Rank Key],0)),"-")</f>
        <v>IT</v>
      </c>
      <c r="E44" s="59" t="str">
        <f>IFERROR(INDEX(tblPlacements[Company],MATCH(LARGE(tblPlacements[Rank Key],$B44),tblPlacements[Rank Key],0)),"-")</f>
        <v>Microsoft</v>
      </c>
      <c r="F44" s="72">
        <f>IFERROR(INDEX(tblPlacements[Package LPA],MATCH(LARGE(tblPlacements[Rank Key],$B44),tblPlacements[Rank Key],0)),"-")</f>
        <v>44.4</v>
      </c>
      <c r="G44" s="62">
        <f>IFERROR(INDEX(tblPlacements[CGPA],MATCH(LARGE(tblPlacements[Rank Key],$B44),tblPlacements[Rank Key],0)),"-")</f>
        <v>8.6</v>
      </c>
      <c r="H44" s="4" t="n"/>
      <c r="I44" s="33" t="n">
        <v>1</v>
      </c>
      <c r="J44" s="59" t="str">
        <f>IFERROR(INDEX(tblPlacements[Student Name],MATCH(SMALL(tblPlacements[Rank Key],$I44),tblPlacements[Rank Key],0)),"-")</f>
        <v>Rahul Singh</v>
      </c>
      <c r="K44" s="60" t="str">
        <f>IFERROR(INDEX(tblPlacements[Branch],MATCH(SMALL(tblPlacements[Rank Key],$I44),tblPlacements[Rank Key],0)),"-")</f>
        <v>ECE</v>
      </c>
      <c r="L44" s="59" t="str">
        <f>IFERROR(INDEX(tblPlacements[Company],MATCH(SMALL(tblPlacements[Rank Key],$I44),tblPlacements[Rank Key],0)),"-")</f>
        <v>Wipro</v>
      </c>
      <c r="M44" s="72">
        <f>IFERROR(INDEX(tblPlacements[Package LPA],MATCH(SMALL(tblPlacements[Rank Key],$I44),tblPlacements[Rank Key],0)),"-")</f>
        <v>3.5</v>
      </c>
      <c r="N44" s="62">
        <f>IFERROR(INDEX(tblPlacements[CGPA],MATCH(SMALL(tblPlacements[Rank Key],$I44),tblPlacements[Rank Key],0)),"-")</f>
        <v>7.04</v>
      </c>
      <c r="O44" s="4" t="n"/>
    </row>
    <row r="45">
      <c r="A45" s="4" t="n"/>
      <c r="B45" s="42" t="n">
        <v>2</v>
      </c>
      <c r="C45" s="63" t="str">
        <f>IFERROR(INDEX(tblPlacements[Student Name],MATCH(LARGE(tblPlacements[Rank Key],$B45),tblPlacements[Rank Key],0)),"-")</f>
        <v>Kavya Kumar</v>
      </c>
      <c r="D45" s="64" t="str">
        <f>IFERROR(INDEX(tblPlacements[Branch],MATCH(LARGE(tblPlacements[Rank Key],$B45),tblPlacements[Rank Key],0)),"-")</f>
        <v>CSE</v>
      </c>
      <c r="E45" s="63" t="str">
        <f>IFERROR(INDEX(tblPlacements[Company],MATCH(LARGE(tblPlacements[Rank Key],$B45),tblPlacements[Rank Key],0)),"-")</f>
        <v>Microsoft</v>
      </c>
      <c r="F45" s="73">
        <f>IFERROR(INDEX(tblPlacements[Package LPA],MATCH(LARGE(tblPlacements[Rank Key],$B45),tblPlacements[Rank Key],0)),"-")</f>
        <v>42.2</v>
      </c>
      <c r="G45" s="66">
        <f>IFERROR(INDEX(tblPlacements[CGPA],MATCH(LARGE(tblPlacements[Rank Key],$B45),tblPlacements[Rank Key],0)),"-")</f>
        <v>8.22</v>
      </c>
      <c r="H45" s="4" t="n"/>
      <c r="I45" s="42" t="n">
        <v>2</v>
      </c>
      <c r="J45" s="63" t="str">
        <f>IFERROR(INDEX(tblPlacements[Student Name],MATCH(SMALL(tblPlacements[Rank Key],$I45),tblPlacements[Rank Key],0)),"-")</f>
        <v>Ananya Banerjee</v>
      </c>
      <c r="K45" s="64" t="str">
        <f>IFERROR(INDEX(tblPlacements[Branch],MATCH(SMALL(tblPlacements[Rank Key],$I45),tblPlacements[Rank Key],0)),"-")</f>
        <v>CSE</v>
      </c>
      <c r="L45" s="63" t="str">
        <f>IFERROR(INDEX(tblPlacements[Company],MATCH(SMALL(tblPlacements[Rank Key],$I45),tblPlacements[Rank Key],0)),"-")</f>
        <v>Infosys</v>
      </c>
      <c r="M45" s="73">
        <f>IFERROR(INDEX(tblPlacements[Package LPA],MATCH(SMALL(tblPlacements[Rank Key],$I45),tblPlacements[Rank Key],0)),"-")</f>
        <v>3.6</v>
      </c>
      <c r="N45" s="66">
        <f>IFERROR(INDEX(tblPlacements[CGPA],MATCH(SMALL(tblPlacements[Rank Key],$I45),tblPlacements[Rank Key],0)),"-")</f>
        <v>5.95</v>
      </c>
      <c r="O45" s="4" t="n"/>
    </row>
    <row r="46">
      <c r="A46" s="4" t="n"/>
      <c r="B46" s="33" t="n">
        <v>3</v>
      </c>
      <c r="C46" s="59" t="str">
        <f>IFERROR(INDEX(tblPlacements[Student Name],MATCH(LARGE(tblPlacements[Rank Key],$B46),tblPlacements[Rank Key],0)),"-")</f>
        <v>Sakshi Verma</v>
      </c>
      <c r="D46" s="60" t="str">
        <f>IFERROR(INDEX(tblPlacements[Branch],MATCH(LARGE(tblPlacements[Rank Key],$B46),tblPlacements[Rank Key],0)),"-")</f>
        <v>CSE</v>
      </c>
      <c r="E46" s="59" t="str">
        <f>IFERROR(INDEX(tblPlacements[Company],MATCH(LARGE(tblPlacements[Rank Key],$B46),tblPlacements[Rank Key],0)),"-")</f>
        <v>Amazon</v>
      </c>
      <c r="F46" s="72">
        <f>IFERROR(INDEX(tblPlacements[Package LPA],MATCH(LARGE(tblPlacements[Rank Key],$B46),tblPlacements[Rank Key],0)),"-")</f>
        <v>37</v>
      </c>
      <c r="G46" s="62">
        <f>IFERROR(INDEX(tblPlacements[CGPA],MATCH(LARGE(tblPlacements[Rank Key],$B46),tblPlacements[Rank Key],0)),"-")</f>
        <v>8.01</v>
      </c>
      <c r="H46" s="4" t="n"/>
      <c r="I46" s="33" t="n">
        <v>3</v>
      </c>
      <c r="J46" s="59" t="str">
        <f>IFERROR(INDEX(tblPlacements[Student Name],MATCH(SMALL(tblPlacements[Rank Key],$I46),tblPlacements[Rank Key],0)),"-")</f>
        <v>Ananya Rawat</v>
      </c>
      <c r="K46" s="60" t="str">
        <f>IFERROR(INDEX(tblPlacements[Branch],MATCH(SMALL(tblPlacements[Rank Key],$I46),tblPlacements[Rank Key],0)),"-")</f>
        <v>CSE</v>
      </c>
      <c r="L46" s="59" t="str">
        <f>IFERROR(INDEX(tblPlacements[Company],MATCH(SMALL(tblPlacements[Rank Key],$I46),tblPlacements[Rank Key],0)),"-")</f>
        <v>Infosys</v>
      </c>
      <c r="M46" s="72">
        <f>IFERROR(INDEX(tblPlacements[Package LPA],MATCH(SMALL(tblPlacements[Rank Key],$I46),tblPlacements[Rank Key],0)),"-")</f>
        <v>3.6</v>
      </c>
      <c r="N46" s="62">
        <f>IFERROR(INDEX(tblPlacements[CGPA],MATCH(SMALL(tblPlacements[Rank Key],$I46),tblPlacements[Rank Key],0)),"-")</f>
        <v>6.39</v>
      </c>
      <c r="O46" s="4" t="n"/>
    </row>
    <row r="47">
      <c r="A47" s="4" t="n"/>
      <c r="B47" s="42" t="n">
        <v>4</v>
      </c>
      <c r="C47" s="63" t="str">
        <f>IFERROR(INDEX(tblPlacements[Student Name],MATCH(LARGE(tblPlacements[Rank Key],$B47),tblPlacements[Rank Key],0)),"-")</f>
        <v>Komal Pandey</v>
      </c>
      <c r="D47" s="64" t="str">
        <f>IFERROR(INDEX(tblPlacements[Branch],MATCH(LARGE(tblPlacements[Rank Key],$B47),tblPlacements[Rank Key],0)),"-")</f>
        <v>CSE</v>
      </c>
      <c r="E47" s="63" t="str">
        <f>IFERROR(INDEX(tblPlacements[Company],MATCH(LARGE(tblPlacements[Rank Key],$B47),tblPlacements[Rank Key],0)),"-")</f>
        <v>Adobe</v>
      </c>
      <c r="F47" s="73">
        <f>IFERROR(INDEX(tblPlacements[Package LPA],MATCH(LARGE(tblPlacements[Rank Key],$B47),tblPlacements[Rank Key],0)),"-")</f>
        <v>35.7</v>
      </c>
      <c r="G47" s="66">
        <f>IFERROR(INDEX(tblPlacements[CGPA],MATCH(LARGE(tblPlacements[Rank Key],$B47),tblPlacements[Rank Key],0)),"-")</f>
        <v>8.18</v>
      </c>
      <c r="H47" s="4" t="n"/>
      <c r="I47" s="42" t="n">
        <v>4</v>
      </c>
      <c r="J47" s="63" t="str">
        <f>IFERROR(INDEX(tblPlacements[Student Name],MATCH(SMALL(tblPlacements[Rank Key],$I47),tblPlacements[Rank Key],0)),"-")</f>
        <v>Aditya Ansari</v>
      </c>
      <c r="K47" s="64" t="str">
        <f>IFERROR(INDEX(tblPlacements[Branch],MATCH(SMALL(tblPlacements[Rank Key],$I47),tblPlacements[Rank Key],0)),"-")</f>
        <v>IT</v>
      </c>
      <c r="L47" s="63" t="str">
        <f>IFERROR(INDEX(tblPlacements[Company],MATCH(SMALL(tblPlacements[Rank Key],$I47),tblPlacements[Rank Key],0)),"-")</f>
        <v>Infosys</v>
      </c>
      <c r="M47" s="73">
        <f>IFERROR(INDEX(tblPlacements[Package LPA],MATCH(SMALL(tblPlacements[Rank Key],$I47),tblPlacements[Rank Key],0)),"-")</f>
        <v>3.7</v>
      </c>
      <c r="N47" s="66">
        <f>IFERROR(INDEX(tblPlacements[CGPA],MATCH(SMALL(tblPlacements[Rank Key],$I47),tblPlacements[Rank Key],0)),"-")</f>
        <v>6.34</v>
      </c>
      <c r="O47" s="4" t="n"/>
    </row>
    <row r="48">
      <c r="A48" s="4" t="n"/>
      <c r="B48" s="33" t="n">
        <v>5</v>
      </c>
      <c r="C48" s="59" t="str">
        <f>IFERROR(INDEX(tblPlacements[Student Name],MATCH(LARGE(tblPlacements[Rank Key],$B48),tblPlacements[Rank Key],0)),"-")</f>
        <v>Neha Nair</v>
      </c>
      <c r="D48" s="60" t="str">
        <f>IFERROR(INDEX(tblPlacements[Branch],MATCH(LARGE(tblPlacements[Rank Key],$B48),tblPlacements[Rank Key],0)),"-")</f>
        <v>IT</v>
      </c>
      <c r="E48" s="59" t="str">
        <f>IFERROR(INDEX(tblPlacements[Company],MATCH(LARGE(tblPlacements[Rank Key],$B48),tblPlacements[Rank Key],0)),"-")</f>
        <v>Amazon</v>
      </c>
      <c r="F48" s="72">
        <f>IFERROR(INDEX(tblPlacements[Package LPA],MATCH(LARGE(tblPlacements[Rank Key],$B48),tblPlacements[Rank Key],0)),"-")</f>
        <v>31</v>
      </c>
      <c r="G48" s="62">
        <f>IFERROR(INDEX(tblPlacements[CGPA],MATCH(LARGE(tblPlacements[Rank Key],$B48),tblPlacements[Rank Key],0)),"-")</f>
        <v>8.41</v>
      </c>
      <c r="H48" s="4" t="n"/>
      <c r="I48" s="33" t="n">
        <v>5</v>
      </c>
      <c r="J48" s="59" t="str">
        <f>IFERROR(INDEX(tblPlacements[Student Name],MATCH(SMALL(tblPlacements[Rank Key],$I48),tblPlacements[Rank Key],0)),"-")</f>
        <v>Kunal Srivastava</v>
      </c>
      <c r="K48" s="60" t="str">
        <f>IFERROR(INDEX(tblPlacements[Branch],MATCH(SMALL(tblPlacements[Rank Key],$I48),tblPlacements[Rank Key],0)),"-")</f>
        <v>CSE</v>
      </c>
      <c r="L48" s="59" t="str">
        <f>IFERROR(INDEX(tblPlacements[Company],MATCH(SMALL(tblPlacements[Rank Key],$I48),tblPlacements[Rank Key],0)),"-")</f>
        <v>Tech Mahindra</v>
      </c>
      <c r="M48" s="72">
        <f>IFERROR(INDEX(tblPlacements[Package LPA],MATCH(SMALL(tblPlacements[Rank Key],$I48),tblPlacements[Rank Key],0)),"-")</f>
        <v>3.7</v>
      </c>
      <c r="N48" s="62">
        <f>IFERROR(INDEX(tblPlacements[CGPA],MATCH(SMALL(tblPlacements[Rank Key],$I48),tblPlacements[Rank Key],0)),"-")</f>
        <v>6.2</v>
      </c>
      <c r="O48" s="4" t="n"/>
    </row>
    <row r="49">
      <c r="A49" s="4" t="n"/>
      <c r="B49" s="42" t="n">
        <v>6</v>
      </c>
      <c r="C49" s="63" t="str">
        <f>IFERROR(INDEX(tblPlacements[Student Name],MATCH(LARGE(tblPlacements[Rank Key],$B49),tblPlacements[Rank Key],0)),"-")</f>
        <v>Jhanvi Dubey</v>
      </c>
      <c r="D49" s="64" t="str">
        <f>IFERROR(INDEX(tblPlacements[Branch],MATCH(LARGE(tblPlacements[Rank Key],$B49),tblPlacements[Rank Key],0)),"-")</f>
        <v>CSE</v>
      </c>
      <c r="E49" s="63" t="str">
        <f>IFERROR(INDEX(tblPlacements[Company],MATCH(LARGE(tblPlacements[Rank Key],$B49),tblPlacements[Rank Key],0)),"-")</f>
        <v>Adobe</v>
      </c>
      <c r="F49" s="73">
        <f>IFERROR(INDEX(tblPlacements[Package LPA],MATCH(LARGE(tblPlacements[Rank Key],$B49),tblPlacements[Rank Key],0)),"-")</f>
        <v>30.6</v>
      </c>
      <c r="G49" s="66">
        <f>IFERROR(INDEX(tblPlacements[CGPA],MATCH(LARGE(tblPlacements[Rank Key],$B49),tblPlacements[Rank Key],0)),"-")</f>
        <v>7.35</v>
      </c>
      <c r="H49" s="4" t="n"/>
      <c r="I49" s="42" t="n">
        <v>6</v>
      </c>
      <c r="J49" s="63" t="str">
        <f>IFERROR(INDEX(tblPlacements[Student Name],MATCH(SMALL(tblPlacements[Rank Key],$I49),tblPlacements[Rank Key],0)),"-")</f>
        <v>Parth Jain</v>
      </c>
      <c r="K49" s="64" t="str">
        <f>IFERROR(INDEX(tblPlacements[Branch],MATCH(SMALL(tblPlacements[Rank Key],$I49),tblPlacements[Rank Key],0)),"-")</f>
        <v>IT</v>
      </c>
      <c r="L49" s="63" t="str">
        <f>IFERROR(INDEX(tblPlacements[Company],MATCH(SMALL(tblPlacements[Rank Key],$I49),tblPlacements[Rank Key],0)),"-")</f>
        <v>Tech Mahindra</v>
      </c>
      <c r="M49" s="73">
        <f>IFERROR(INDEX(tblPlacements[Package LPA],MATCH(SMALL(tblPlacements[Rank Key],$I49),tblPlacements[Rank Key],0)),"-")</f>
        <v>3.9</v>
      </c>
      <c r="N49" s="66">
        <f>IFERROR(INDEX(tblPlacements[CGPA],MATCH(SMALL(tblPlacements[Rank Key],$I49),tblPlacements[Rank Key],0)),"-")</f>
        <v>7.9</v>
      </c>
      <c r="O49" s="4" t="n"/>
    </row>
    <row r="50">
      <c r="A50" s="4" t="n"/>
      <c r="B50" s="33" t="n">
        <v>7</v>
      </c>
      <c r="C50" s="59" t="str">
        <f>IFERROR(INDEX(tblPlacements[Student Name],MATCH(LARGE(tblPlacements[Rank Key],$B50),tblPlacements[Rank Key],0)),"-")</f>
        <v>Jhanvi Mishra</v>
      </c>
      <c r="D50" s="60" t="str">
        <f>IFERROR(INDEX(tblPlacements[Branch],MATCH(LARGE(tblPlacements[Rank Key],$B50),tblPlacements[Rank Key],0)),"-")</f>
        <v>IT</v>
      </c>
      <c r="E50" s="59" t="str">
        <f>IFERROR(INDEX(tblPlacements[Company],MATCH(LARGE(tblPlacements[Rank Key],$B50),tblPlacements[Rank Key],0)),"-")</f>
        <v>Adobe</v>
      </c>
      <c r="F50" s="72">
        <f>IFERROR(INDEX(tblPlacements[Package LPA],MATCH(LARGE(tblPlacements[Rank Key],$B50),tblPlacements[Rank Key],0)),"-")</f>
        <v>30.1</v>
      </c>
      <c r="G50" s="62">
        <f>IFERROR(INDEX(tblPlacements[CGPA],MATCH(LARGE(tblPlacements[Rank Key],$B50),tblPlacements[Rank Key],0)),"-")</f>
        <v>8.03</v>
      </c>
      <c r="H50" s="4" t="n"/>
      <c r="I50" s="33" t="n">
        <v>7</v>
      </c>
      <c r="J50" s="59" t="str">
        <f>IFERROR(INDEX(tblPlacements[Student Name],MATCH(SMALL(tblPlacements[Rank Key],$I50),tblPlacements[Rank Key],0)),"-")</f>
        <v>Swati Saxena</v>
      </c>
      <c r="K50" s="60" t="str">
        <f>IFERROR(INDEX(tblPlacements[Branch],MATCH(SMALL(tblPlacements[Rank Key],$I50),tblPlacements[Rank Key],0)),"-")</f>
        <v>IT</v>
      </c>
      <c r="L50" s="59" t="str">
        <f>IFERROR(INDEX(tblPlacements[Company],MATCH(SMALL(tblPlacements[Rank Key],$I50),tblPlacements[Rank Key],0)),"-")</f>
        <v>Wipro</v>
      </c>
      <c r="M50" s="72">
        <f>IFERROR(INDEX(tblPlacements[Package LPA],MATCH(SMALL(tblPlacements[Rank Key],$I50),tblPlacements[Rank Key],0)),"-")</f>
        <v>4</v>
      </c>
      <c r="N50" s="62">
        <f>IFERROR(INDEX(tblPlacements[CGPA],MATCH(SMALL(tblPlacements[Rank Key],$I50),tblPlacements[Rank Key],0)),"-")</f>
        <v>7.46</v>
      </c>
      <c r="O50" s="4" t="n"/>
    </row>
    <row r="51">
      <c r="A51" s="4" t="n"/>
      <c r="B51" s="42" t="n">
        <v>8</v>
      </c>
      <c r="C51" s="63" t="str">
        <f>IFERROR(INDEX(tblPlacements[Student Name],MATCH(LARGE(tblPlacements[Rank Key],$B51),tblPlacements[Rank Key],0)),"-")</f>
        <v>Ishaan Bhatt</v>
      </c>
      <c r="D51" s="64" t="str">
        <f>IFERROR(INDEX(tblPlacements[Branch],MATCH(LARGE(tblPlacements[Rank Key],$B51),tblPlacements[Rank Key],0)),"-")</f>
        <v>IT</v>
      </c>
      <c r="E51" s="63" t="str">
        <f>IFERROR(INDEX(tblPlacements[Company],MATCH(LARGE(tblPlacements[Rank Key],$B51),tblPlacements[Rank Key],0)),"-")</f>
        <v>Flipkart</v>
      </c>
      <c r="F51" s="73">
        <f>IFERROR(INDEX(tblPlacements[Package LPA],MATCH(LARGE(tblPlacements[Rank Key],$B51),tblPlacements[Rank Key],0)),"-")</f>
        <v>24.7</v>
      </c>
      <c r="G51" s="66">
        <f>IFERROR(INDEX(tblPlacements[CGPA],MATCH(LARGE(tblPlacements[Rank Key],$B51),tblPlacements[Rank Key],0)),"-")</f>
        <v>8.24</v>
      </c>
      <c r="H51" s="4" t="n"/>
      <c r="I51" s="42" t="n">
        <v>8</v>
      </c>
      <c r="J51" s="63" t="str">
        <f>IFERROR(INDEX(tblPlacements[Student Name],MATCH(SMALL(tblPlacements[Rank Key],$I51),tblPlacements[Rank Key],0)),"-")</f>
        <v>Ishaan Agarwal</v>
      </c>
      <c r="K51" s="64" t="str">
        <f>IFERROR(INDEX(tblPlacements[Branch],MATCH(SMALL(tblPlacements[Rank Key],$I51),tblPlacements[Rank Key],0)),"-")</f>
        <v>IT</v>
      </c>
      <c r="L51" s="63" t="str">
        <f>IFERROR(INDEX(tblPlacements[Company],MATCH(SMALL(tblPlacements[Rank Key],$I51),tblPlacements[Rank Key],0)),"-")</f>
        <v>Cognizant</v>
      </c>
      <c r="M51" s="73">
        <f>IFERROR(INDEX(tblPlacements[Package LPA],MATCH(SMALL(tblPlacements[Rank Key],$I51),tblPlacements[Rank Key],0)),"-")</f>
        <v>4</v>
      </c>
      <c r="N51" s="66">
        <f>IFERROR(INDEX(tblPlacements[CGPA],MATCH(SMALL(tblPlacements[Rank Key],$I51),tblPlacements[Rank Key],0)),"-")</f>
        <v>6.34</v>
      </c>
      <c r="O51" s="4" t="n"/>
    </row>
    <row r="52">
      <c r="A52" s="4" t="n"/>
      <c r="B52" s="33" t="n">
        <v>9</v>
      </c>
      <c r="C52" s="59" t="str">
        <f>IFERROR(INDEX(tblPlacements[Student Name],MATCH(LARGE(tblPlacements[Rank Key],$B52),tblPlacements[Rank Key],0)),"-")</f>
        <v>Vaishnavi Bhatt</v>
      </c>
      <c r="D52" s="60" t="str">
        <f>IFERROR(INDEX(tblPlacements[Branch],MATCH(LARGE(tblPlacements[Rank Key],$B52),tblPlacements[Rank Key],0)),"-")</f>
        <v>CSE</v>
      </c>
      <c r="E52" s="59" t="str">
        <f>IFERROR(INDEX(tblPlacements[Company],MATCH(LARGE(tblPlacements[Rank Key],$B52),tblPlacements[Rank Key],0)),"-")</f>
        <v>Amazon</v>
      </c>
      <c r="F52" s="72">
        <f>IFERROR(INDEX(tblPlacements[Package LPA],MATCH(LARGE(tblPlacements[Rank Key],$B52),tblPlacements[Rank Key],0)),"-")</f>
        <v>23.1</v>
      </c>
      <c r="G52" s="62">
        <f>IFERROR(INDEX(tblPlacements[CGPA],MATCH(LARGE(tblPlacements[Rank Key],$B52),tblPlacements[Rank Key],0)),"-")</f>
        <v>6.93</v>
      </c>
      <c r="H52" s="4" t="n"/>
      <c r="I52" s="33" t="n">
        <v>9</v>
      </c>
      <c r="J52" s="59" t="str">
        <f>IFERROR(INDEX(tblPlacements[Student Name],MATCH(SMALL(tblPlacements[Rank Key],$I52),tblPlacements[Rank Key],0)),"-")</f>
        <v>Vivaan Chatterjee</v>
      </c>
      <c r="K52" s="60" t="str">
        <f>IFERROR(INDEX(tblPlacements[Branch],MATCH(SMALL(tblPlacements[Rank Key],$I52),tblPlacements[Rank Key],0)),"-")</f>
        <v>IT</v>
      </c>
      <c r="L52" s="59" t="str">
        <f>IFERROR(INDEX(tblPlacements[Company],MATCH(SMALL(tblPlacements[Rank Key],$I52),tblPlacements[Rank Key],0)),"-")</f>
        <v>Tech Mahindra</v>
      </c>
      <c r="M52" s="72">
        <f>IFERROR(INDEX(tblPlacements[Package LPA],MATCH(SMALL(tblPlacements[Rank Key],$I52),tblPlacements[Rank Key],0)),"-")</f>
        <v>4</v>
      </c>
      <c r="N52" s="62">
        <f>IFERROR(INDEX(tblPlacements[CGPA],MATCH(SMALL(tblPlacements[Rank Key],$I52),tblPlacements[Rank Key],0)),"-")</f>
        <v>7.3</v>
      </c>
      <c r="O52" s="4" t="n"/>
    </row>
    <row r="53">
      <c r="A53" s="4" t="n"/>
      <c r="B53" s="42" t="n">
        <v>10</v>
      </c>
      <c r="C53" s="63" t="str">
        <f>IFERROR(INDEX(tblPlacements[Student Name],MATCH(LARGE(tblPlacements[Rank Key],$B53),tblPlacements[Rank Key],0)),"-")</f>
        <v>Vishal Tyagi</v>
      </c>
      <c r="D53" s="64" t="str">
        <f>IFERROR(INDEX(tblPlacements[Branch],MATCH(LARGE(tblPlacements[Rank Key],$B53),tblPlacements[Rank Key],0)),"-")</f>
        <v>IT</v>
      </c>
      <c r="E53" s="63" t="str">
        <f>IFERROR(INDEX(tblPlacements[Company],MATCH(LARGE(tblPlacements[Rank Key],$B53),tblPlacements[Rank Key],0)),"-")</f>
        <v>Amazon</v>
      </c>
      <c r="F53" s="73">
        <f>IFERROR(INDEX(tblPlacements[Package LPA],MATCH(LARGE(tblPlacements[Rank Key],$B53),tblPlacements[Rank Key],0)),"-")</f>
        <v>22.9</v>
      </c>
      <c r="G53" s="66">
        <f>IFERROR(INDEX(tblPlacements[CGPA],MATCH(LARGE(tblPlacements[Rank Key],$B53),tblPlacements[Rank Key],0)),"-")</f>
        <v>6.88</v>
      </c>
      <c r="H53" s="4" t="n"/>
      <c r="I53" s="42" t="n">
        <v>10</v>
      </c>
      <c r="J53" s="63" t="str">
        <f>IFERROR(INDEX(tblPlacements[Student Name],MATCH(SMALL(tblPlacements[Rank Key],$I53),tblPlacements[Rank Key],0)),"-")</f>
        <v>Arjun Tyagi</v>
      </c>
      <c r="K53" s="64" t="str">
        <f>IFERROR(INDEX(tblPlacements[Branch],MATCH(SMALL(tblPlacements[Rank Key],$I53),tblPlacements[Rank Key],0)),"-")</f>
        <v>CSE</v>
      </c>
      <c r="L53" s="63" t="str">
        <f>IFERROR(INDEX(tblPlacements[Company],MATCH(SMALL(tblPlacements[Rank Key],$I53),tblPlacements[Rank Key],0)),"-")</f>
        <v>HCLTech</v>
      </c>
      <c r="M53" s="73">
        <f>IFERROR(INDEX(tblPlacements[Package LPA],MATCH(SMALL(tblPlacements[Rank Key],$I53),tblPlacements[Rank Key],0)),"-")</f>
        <v>4</v>
      </c>
      <c r="N53" s="66">
        <f>IFERROR(INDEX(tblPlacements[CGPA],MATCH(SMALL(tblPlacements[Rank Key],$I53),tblPlacements[Rank Key],0)),"-")</f>
        <v>6.59</v>
      </c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 ht="28" customHeight="1">
      <c r="A55" s="4" t="n"/>
      <c r="B55" s="52" t="inlineStr">
        <is>
          <t>Placement rate = Placed ÷ all registered students in the selection. Ranked tables only list placed students and respect the active filters.</t>
        </is>
      </c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2">
    <mergeCell ref="E10:G10"/>
    <mergeCell ref="B42:G42"/>
    <mergeCell ref="B3:C3"/>
    <mergeCell ref="B55:N55"/>
    <mergeCell ref="B10:D10"/>
    <mergeCell ref="L10:N10"/>
    <mergeCell ref="I5:N5"/>
    <mergeCell ref="I42:N42"/>
    <mergeCell ref="E8:G9"/>
    <mergeCell ref="E7:G7"/>
    <mergeCell ref="B8:D9"/>
    <mergeCell ref="I3:J3"/>
    <mergeCell ref="I10:K10"/>
    <mergeCell ref="L8:N9"/>
    <mergeCell ref="M3:N3"/>
    <mergeCell ref="B7:D7"/>
    <mergeCell ref="B2:N2"/>
    <mergeCell ref="L7:N7"/>
    <mergeCell ref="B1:N1"/>
    <mergeCell ref="I8:K9"/>
    <mergeCell ref="I7:K7"/>
    <mergeCell ref="K3:L3"/>
  </mergeCells>
  <conditionalFormatting sqref="E8">
    <cfRule type="cellIs" priority="1" operator="lessThan" dxfId="0">
      <formula>0.7</formula>
    </cfRule>
    <cfRule type="cellIs" priority="2" operator="greaterThanOrEqual" dxfId="1">
      <formula>0.7</formula>
    </cfRule>
  </conditionalFormatting>
  <conditionalFormatting sqref="F44:F53">
    <cfRule type="cellIs" priority="3" operator="notEqual" dxfId="3">
      <formula>"-"</formula>
    </cfRule>
  </conditionalFormatting>
  <conditionalFormatting sqref="M44:M53">
    <cfRule type="cellIs" priority="4" operator="notEqual" dxfId="2">
      <formula>"-"</formula>
    </cfRule>
  </conditionalFormatting>
  <dataValidations count="2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=Lists!$G$4:$G$8</formula1>
    </dataValidation>
  </dataValidations>
  <hyperlinks>
    <hyperlink ref="B3" location="'Overview'!A1" display="« Overview"/>
    <hyperlink ref="D3" location="'Student Dashboard'!A1" display="Students"/>
    <hyperlink ref="E3" location="'Attendance Dashboard'!A1" display="Attendance"/>
    <hyperlink ref="F3" location="'Faculty Dashboard'!A1" display="Faculty"/>
    <hyperlink ref="I3" location="'Course Dashboard'!A1" display="Courses"/>
    <hyperlink ref="K3" location="'Instructions'!A1" display="Instructions"/>
    <hyperlink ref="M3" location="'Placements'!A1" display="Data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60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2" customWidth="1" min="8" max="8"/>
    <col width="7" customWidth="1" min="9" max="9"/>
    <col width="20" customWidth="1" min="10" max="10"/>
    <col width="12" customWidth="1" min="11" max="11"/>
    <col width="13" customWidth="1" min="12" max="12"/>
    <col width="13" customWidth="1" min="13" max="13"/>
    <col width="13" customWidth="1" min="14" max="14"/>
    <col width="2" customWidth="1" min="15" max="15"/>
  </cols>
  <sheetData>
    <row r="1" ht="30" customHeight="1">
      <c r="A1" s="1" t="n"/>
      <c r="B1" s="2" t="inlineStr">
        <is>
          <t>Course Analytics</t>
        </is>
      </c>
      <c r="O1" s="1" t="n"/>
    </row>
    <row r="2" ht="18" customHeight="1">
      <c r="A2" s="1" t="n"/>
      <c r="B2" s="3" t="inlineStr">
        <is>
          <t>Enrollment, pass rates, attendance and course ratings  |  source: tblCourses</t>
        </is>
      </c>
      <c r="O2" s="1" t="n"/>
    </row>
    <row r="3" ht="22" customHeight="1">
      <c r="A3" s="4" t="n"/>
      <c r="B3" s="7" t="inlineStr">
        <is>
          <t>« Overview</t>
        </is>
      </c>
      <c r="C3" s="8" t="n"/>
      <c r="D3" s="7" t="inlineStr">
        <is>
          <t>Students</t>
        </is>
      </c>
      <c r="E3" s="7" t="inlineStr">
        <is>
          <t>Attendance</t>
        </is>
      </c>
      <c r="F3" s="7" t="inlineStr">
        <is>
          <t>Faculty</t>
        </is>
      </c>
      <c r="G3" s="7" t="inlineStr">
        <is>
          <t>Placements</t>
        </is>
      </c>
      <c r="H3" s="4" t="n"/>
      <c r="I3" s="5" t="inlineStr">
        <is>
          <t>Courses</t>
        </is>
      </c>
      <c r="J3" s="6" t="n"/>
      <c r="K3" s="7" t="inlineStr">
        <is>
          <t>Instructions</t>
        </is>
      </c>
      <c r="L3" s="8" t="n"/>
      <c r="M3" s="7" t="inlineStr">
        <is>
          <t>Data »</t>
        </is>
      </c>
      <c r="N3" s="8" t="n"/>
      <c r="O3" s="4" t="n"/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4" customHeight="1">
      <c r="A5" s="4" t="n"/>
      <c r="B5" s="9" t="inlineStr">
        <is>
          <t>Branch</t>
        </is>
      </c>
      <c r="C5" s="10" t="inlineStr">
        <is>
          <t>All</t>
        </is>
      </c>
      <c r="D5" s="9" t="inlineStr">
        <is>
          <t>Semester</t>
        </is>
      </c>
      <c r="E5" s="10" t="inlineStr">
        <is>
          <t>All</t>
        </is>
      </c>
      <c r="F5" s="9" t="inlineStr">
        <is>
          <t>Year</t>
        </is>
      </c>
      <c r="G5" s="10" t="inlineStr">
        <is>
          <t>All</t>
        </is>
      </c>
      <c r="H5" s="4" t="n"/>
      <c r="I5" s="11" t="inlineStr">
        <is>
          <t>Choose 'All' to clear a filter. Amber = pass rate below the course target (85% by default, editable on Lists).</t>
        </is>
      </c>
      <c r="O5" s="4" t="n"/>
    </row>
    <row r="6" ht="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4" t="n"/>
      <c r="B7" s="12" t="inlineStr">
        <is>
          <t>COURSES OFFERED</t>
        </is>
      </c>
      <c r="C7" s="13" t="n"/>
      <c r="D7" s="14" t="n"/>
      <c r="E7" s="18" t="inlineStr">
        <is>
          <t>TOTAL ENROLLMENT</t>
        </is>
      </c>
      <c r="F7" s="19" t="n"/>
      <c r="G7" s="20" t="n"/>
      <c r="H7" s="4" t="n"/>
      <c r="I7" s="15" t="inlineStr">
        <is>
          <t>OVERALL PASS RATE</t>
        </is>
      </c>
      <c r="J7" s="16" t="n"/>
      <c r="K7" s="17" t="n"/>
      <c r="L7" s="21" t="inlineStr">
        <is>
          <t>AVG COURSE RATING</t>
        </is>
      </c>
      <c r="M7" s="22" t="n"/>
      <c r="N7" s="23" t="n"/>
      <c r="O7" s="4" t="n"/>
    </row>
    <row r="8" ht="22" customHeight="1">
      <c r="A8" s="4" t="n"/>
      <c r="B8" s="24">
        <f>COUNTIFS(tblCourses[Branch],cCo_B,tblCourses[Semester],cCo_S,tblCourses[Year],cCo_Y)</f>
        <v>25</v>
      </c>
      <c r="D8" s="25" t="n"/>
      <c r="E8" s="24">
        <f>SUMIFS(tblCourses[Enrolled],tblCourses[Branch],cCo_B,tblCourses[Semester],cCo_S,tblCourses[Year],cCo_Y)</f>
        <v>1415</v>
      </c>
      <c r="G8" s="25" t="n"/>
      <c r="H8" s="4" t="n"/>
      <c r="I8" s="26">
        <f>IFERROR(SUMIFS(tblCourses[Passed],tblCourses[Branch],cCo_B,tblCourses[Semester],cCo_S,tblCourses[Year],cCo_Y)/SUMIFS(tblCourses[Enrolled],tblCourses[Branch],cCo_B,tblCourses[Semester],cCo_S,tblCourses[Year],cCo_Y),0)</f>
        <v>0.896819787985866</v>
      </c>
      <c r="K8" s="25" t="n"/>
      <c r="L8" s="53">
        <f>IFERROR(AVERAGEIFS(tblCourses[Rating],tblCourses[Branch],cCo_B,tblCourses[Semester],cCo_S,tblCourses[Year],cCo_Y),0)</f>
        <v>4.0388</v>
      </c>
      <c r="N8" s="25" t="n"/>
      <c r="O8" s="4" t="n"/>
    </row>
    <row r="9" ht="22" customHeight="1">
      <c r="A9" s="4" t="n"/>
      <c r="B9" s="28" t="n"/>
      <c r="D9" s="25" t="n"/>
      <c r="E9" s="28" t="n"/>
      <c r="G9" s="25" t="n"/>
      <c r="H9" s="4" t="n"/>
      <c r="I9" s="28" t="n"/>
      <c r="K9" s="25" t="n"/>
      <c r="L9" s="28" t="n"/>
      <c r="N9" s="25" t="n"/>
      <c r="O9" s="4" t="n"/>
    </row>
    <row r="10" ht="18" customHeight="1">
      <c r="A10" s="4" t="n"/>
      <c r="B10" s="29" t="str">
        <f>"Credits delivered: "&amp;SUMIFS(tblCourses[Credits],tblCourses[Branch],cCo_B,tblCourses[Semester],cCo_S,tblCourses[Year],cCo_Y)</f>
        <v>Credits delivered: 94</v>
      </c>
      <c r="D10" s="25" t="n"/>
      <c r="E10" s="29" t="str">
        <f>"Avg class size: "&amp;TEXT(IFERROR(SUMIFS(tblCourses[Enrolled],tblCourses[Branch],cCo_B,tblCourses[Semester],cCo_S,tblCourses[Year],cCo_Y)/COUNTIFS(tblCourses[Branch],cCo_B,tblCourses[Semester],cCo_S,tblCourses[Year],cCo_Y),0),"0.0")</f>
        <v>Avg class size: 56.6</v>
      </c>
      <c r="G10" s="25" t="n"/>
      <c r="H10" s="4" t="n"/>
      <c r="I10" s="29" t="str">
        <f>"Courses under target: "&amp;COUNTIFS(tblCourses[Branch],cCo_B,tblCourses[Semester],cCo_S,tblCourses[Year],cCo_Y,tblCourses[Pass Rate],"&lt;"&amp;p_CoursePass)</f>
        <v>Courses under target: 5</v>
      </c>
      <c r="K10" s="25" t="n"/>
      <c r="L10" s="29" t="str">
        <f>"Avg attendance: "&amp;TEXT(IFERROR(AVERAGEIFS(tblCourses[Avg Attendance],tblCourses[Branch],cCo_B,tblCourses[Semester],cCo_S,tblCourses[Year],cCo_Y),0),"0.0%")</f>
        <v>Avg attendance: 83.4%</v>
      </c>
      <c r="N10" s="25" t="n"/>
      <c r="O10" s="4" t="n"/>
    </row>
    <row r="11" ht="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4" t="n"/>
      <c r="B42" s="54" t="inlineStr">
        <is>
          <t>▲ TOP 10 COURSES - PASS RATE</t>
        </is>
      </c>
      <c r="C42" s="55" t="n"/>
      <c r="D42" s="55" t="n"/>
      <c r="E42" s="55" t="n"/>
      <c r="F42" s="55" t="n"/>
      <c r="G42" s="55" t="n"/>
      <c r="H42" s="4" t="n"/>
      <c r="I42" s="56" t="inlineStr">
        <is>
          <t>▼ BOTTOM 10 COURSES - PASS RATE</t>
        </is>
      </c>
      <c r="J42" s="57" t="n"/>
      <c r="K42" s="57" t="n"/>
      <c r="L42" s="57" t="n"/>
      <c r="M42" s="57" t="n"/>
      <c r="N42" s="57" t="n"/>
      <c r="O42" s="4" t="n"/>
    </row>
    <row r="43" ht="24" customHeight="1">
      <c r="A43" s="4" t="n"/>
      <c r="B43" s="58" t="inlineStr">
        <is>
          <t>#</t>
        </is>
      </c>
      <c r="C43" s="58" t="inlineStr">
        <is>
          <t>Course</t>
        </is>
      </c>
      <c r="D43" s="58" t="inlineStr">
        <is>
          <t>Branch</t>
        </is>
      </c>
      <c r="E43" s="58" t="inlineStr">
        <is>
          <t>Sem</t>
        </is>
      </c>
      <c r="F43" s="58" t="inlineStr">
        <is>
          <t>Pass %</t>
        </is>
      </c>
      <c r="G43" s="58" t="inlineStr">
        <is>
          <t>Rating</t>
        </is>
      </c>
      <c r="H43" s="4" t="n"/>
      <c r="I43" s="58" t="inlineStr">
        <is>
          <t>#</t>
        </is>
      </c>
      <c r="J43" s="58" t="inlineStr">
        <is>
          <t>Course</t>
        </is>
      </c>
      <c r="K43" s="58" t="inlineStr">
        <is>
          <t>Branch</t>
        </is>
      </c>
      <c r="L43" s="58" t="inlineStr">
        <is>
          <t>Sem</t>
        </is>
      </c>
      <c r="M43" s="58" t="inlineStr">
        <is>
          <t>Pass %</t>
        </is>
      </c>
      <c r="N43" s="58" t="inlineStr">
        <is>
          <t>Rating</t>
        </is>
      </c>
      <c r="O43" s="4" t="n"/>
    </row>
    <row r="44">
      <c r="A44" s="4" t="n"/>
      <c r="B44" s="33" t="n">
        <v>1</v>
      </c>
      <c r="C44" s="59" t="str">
        <f>IFERROR(INDEX(tblCourses[Course Name],MATCH(LARGE(tblCourses[Rank Key],$B44),tblCourses[Rank Key],0)),"-")</f>
        <v>Computer Networks</v>
      </c>
      <c r="D44" s="60" t="str">
        <f>IFERROR(INDEX(tblCourses[Branch],MATCH(LARGE(tblCourses[Rank Key],$B44),tblCourses[Rank Key],0)),"-")</f>
        <v>CSE</v>
      </c>
      <c r="E44" s="61">
        <f>IFERROR(INDEX(tblCourses[Semester],MATCH(LARGE(tblCourses[Rank Key],$B44),tblCourses[Rank Key],0)),"-")</f>
        <v>5</v>
      </c>
      <c r="F44" s="70">
        <f>IFERROR(INDEX(tblCourses[Pass Rate],MATCH(LARGE(tblCourses[Rank Key],$B44),tblCourses[Rank Key],0)),"-")</f>
        <v>0.976190476190476</v>
      </c>
      <c r="G44" s="62">
        <f>IFERROR(INDEX(tblCourses[Rating],MATCH(LARGE(tblCourses[Rank Key],$B44),tblCourses[Rank Key],0)),"-")</f>
        <v>4.37</v>
      </c>
      <c r="H44" s="4" t="n"/>
      <c r="I44" s="33" t="n">
        <v>1</v>
      </c>
      <c r="J44" s="59" t="str">
        <f>IFERROR(INDEX(tblCourses[Course Name],MATCH(SMALL(tblCourses[Rank Key],$I44),tblCourses[Rank Key],0)),"-")</f>
        <v>Structural Analysis</v>
      </c>
      <c r="K44" s="60" t="str">
        <f>IFERROR(INDEX(tblCourses[Branch],MATCH(SMALL(tblCourses[Rank Key],$I44),tblCourses[Rank Key],0)),"-")</f>
        <v>CE</v>
      </c>
      <c r="L44" s="61">
        <f>IFERROR(INDEX(tblCourses[Semester],MATCH(SMALL(tblCourses[Rank Key],$I44),tblCourses[Rank Key],0)),"-")</f>
        <v>4</v>
      </c>
      <c r="M44" s="70">
        <f>IFERROR(INDEX(tblCourses[Pass Rate],MATCH(SMALL(tblCourses[Rank Key],$I44),tblCourses[Rank Key],0)),"-")</f>
        <v>0.733333333333333</v>
      </c>
      <c r="N44" s="62">
        <f>IFERROR(INDEX(tblCourses[Rating],MATCH(SMALL(tblCourses[Rank Key],$I44),tblCourses[Rank Key],0)),"-")</f>
        <v>3.95</v>
      </c>
      <c r="O44" s="4" t="n"/>
    </row>
    <row r="45">
      <c r="A45" s="4" t="n"/>
      <c r="B45" s="42" t="n">
        <v>2</v>
      </c>
      <c r="C45" s="63" t="str">
        <f>IFERROR(INDEX(tblCourses[Course Name],MATCH(LARGE(tblCourses[Rank Key],$B45),tblCourses[Rank Key],0)),"-")</f>
        <v>Machine Learning</v>
      </c>
      <c r="D45" s="64" t="str">
        <f>IFERROR(INDEX(tblCourses[Branch],MATCH(LARGE(tblCourses[Rank Key],$B45),tblCourses[Rank Key],0)),"-")</f>
        <v>CSE</v>
      </c>
      <c r="E45" s="65">
        <f>IFERROR(INDEX(tblCourses[Semester],MATCH(LARGE(tblCourses[Rank Key],$B45),tblCourses[Rank Key],0)),"-")</f>
        <v>6</v>
      </c>
      <c r="F45" s="71">
        <f>IFERROR(INDEX(tblCourses[Pass Rate],MATCH(LARGE(tblCourses[Rank Key],$B45),tblCourses[Rank Key],0)),"-")</f>
        <v>0.966101694915254</v>
      </c>
      <c r="G45" s="66">
        <f>IFERROR(INDEX(tblCourses[Rating],MATCH(LARGE(tblCourses[Rank Key],$B45),tblCourses[Rank Key],0)),"-")</f>
        <v>3.73</v>
      </c>
      <c r="H45" s="4" t="n"/>
      <c r="I45" s="42" t="n">
        <v>2</v>
      </c>
      <c r="J45" s="63" t="str">
        <f>IFERROR(INDEX(tblCourses[Course Name],MATCH(SMALL(tblCourses[Rank Key],$I45),tblCourses[Rank Key],0)),"-")</f>
        <v>Concrete Technology</v>
      </c>
      <c r="K45" s="64" t="str">
        <f>IFERROR(INDEX(tblCourses[Branch],MATCH(SMALL(tblCourses[Rank Key],$I45),tblCourses[Rank Key],0)),"-")</f>
        <v>CE</v>
      </c>
      <c r="L45" s="65">
        <f>IFERROR(INDEX(tblCourses[Semester],MATCH(SMALL(tblCourses[Rank Key],$I45),tblCourses[Rank Key],0)),"-")</f>
        <v>3</v>
      </c>
      <c r="M45" s="71">
        <f>IFERROR(INDEX(tblCourses[Pass Rate],MATCH(SMALL(tblCourses[Rank Key],$I45),tblCourses[Rank Key],0)),"-")</f>
        <v>0.803921568627451</v>
      </c>
      <c r="N45" s="66">
        <f>IFERROR(INDEX(tblCourses[Rating],MATCH(SMALL(tblCourses[Rank Key],$I45),tblCourses[Rank Key],0)),"-")</f>
        <v>4.05</v>
      </c>
      <c r="O45" s="4" t="n"/>
    </row>
    <row r="46">
      <c r="A46" s="4" t="n"/>
      <c r="B46" s="33" t="n">
        <v>3</v>
      </c>
      <c r="C46" s="59" t="str">
        <f>IFERROR(INDEX(tblCourses[Course Name],MATCH(LARGE(tblCourses[Rank Key],$B46),tblCourses[Rank Key],0)),"-")</f>
        <v>Analog Circuits</v>
      </c>
      <c r="D46" s="60" t="str">
        <f>IFERROR(INDEX(tblCourses[Branch],MATCH(LARGE(tblCourses[Rank Key],$B46),tblCourses[Rank Key],0)),"-")</f>
        <v>ECE</v>
      </c>
      <c r="E46" s="61">
        <f>IFERROR(INDEX(tblCourses[Semester],MATCH(LARGE(tblCourses[Rank Key],$B46),tblCourses[Rank Key],0)),"-")</f>
        <v>3</v>
      </c>
      <c r="F46" s="70">
        <f>IFERROR(INDEX(tblCourses[Pass Rate],MATCH(LARGE(tblCourses[Rank Key],$B46),tblCourses[Rank Key],0)),"-")</f>
        <v>0.958333333333333</v>
      </c>
      <c r="G46" s="62">
        <f>IFERROR(INDEX(tblCourses[Rating],MATCH(LARGE(tblCourses[Rank Key],$B46),tblCourses[Rank Key],0)),"-")</f>
        <v>3.92</v>
      </c>
      <c r="H46" s="4" t="n"/>
      <c r="I46" s="33" t="n">
        <v>3</v>
      </c>
      <c r="J46" s="59" t="str">
        <f>IFERROR(INDEX(tblCourses[Course Name],MATCH(SMALL(tblCourses[Rank Key],$I46),tblCourses[Rank Key],0)),"-")</f>
        <v>Software Engineering</v>
      </c>
      <c r="K46" s="60" t="str">
        <f>IFERROR(INDEX(tblCourses[Branch],MATCH(SMALL(tblCourses[Rank Key],$I46),tblCourses[Rank Key],0)),"-")</f>
        <v>IT</v>
      </c>
      <c r="L46" s="61">
        <f>IFERROR(INDEX(tblCourses[Semester],MATCH(SMALL(tblCourses[Rank Key],$I46),tblCourses[Rank Key],0)),"-")</f>
        <v>5</v>
      </c>
      <c r="M46" s="70">
        <f>IFERROR(INDEX(tblCourses[Pass Rate],MATCH(SMALL(tblCourses[Rank Key],$I46),tblCourses[Rank Key],0)),"-")</f>
        <v>0.819672131147541</v>
      </c>
      <c r="N46" s="62">
        <f>IFERROR(INDEX(tblCourses[Rating],MATCH(SMALL(tblCourses[Rank Key],$I46),tblCourses[Rank Key],0)),"-")</f>
        <v>4.01</v>
      </c>
      <c r="O46" s="4" t="n"/>
    </row>
    <row r="47">
      <c r="A47" s="4" t="n"/>
      <c r="B47" s="42" t="n">
        <v>4</v>
      </c>
      <c r="C47" s="63" t="str">
        <f>IFERROR(INDEX(tblCourses[Course Name],MATCH(LARGE(tblCourses[Rank Key],$B47),tblCourses[Rank Key],0)),"-")</f>
        <v>Environmental Engineering</v>
      </c>
      <c r="D47" s="64" t="str">
        <f>IFERROR(INDEX(tblCourses[Branch],MATCH(LARGE(tblCourses[Rank Key],$B47),tblCourses[Rank Key],0)),"-")</f>
        <v>CE</v>
      </c>
      <c r="E47" s="65">
        <f>IFERROR(INDEX(tblCourses[Semester],MATCH(LARGE(tblCourses[Rank Key],$B47),tblCourses[Rank Key],0)),"-")</f>
        <v>7</v>
      </c>
      <c r="F47" s="71">
        <f>IFERROR(INDEX(tblCourses[Pass Rate],MATCH(LARGE(tblCourses[Rank Key],$B47),tblCourses[Rank Key],0)),"-")</f>
        <v>0.954545454545455</v>
      </c>
      <c r="G47" s="66">
        <f>IFERROR(INDEX(tblCourses[Rating],MATCH(LARGE(tblCourses[Rank Key],$B47),tblCourses[Rank Key],0)),"-")</f>
        <v>4.01</v>
      </c>
      <c r="H47" s="4" t="n"/>
      <c r="I47" s="42" t="n">
        <v>4</v>
      </c>
      <c r="J47" s="63" t="str">
        <f>IFERROR(INDEX(tblCourses[Course Name],MATCH(SMALL(tblCourses[Rank Key],$I47),tblCourses[Rank Key],0)),"-")</f>
        <v>Digital Signal Processing</v>
      </c>
      <c r="K47" s="64" t="str">
        <f>IFERROR(INDEX(tblCourses[Branch],MATCH(SMALL(tblCourses[Rank Key],$I47),tblCourses[Rank Key],0)),"-")</f>
        <v>ECE</v>
      </c>
      <c r="L47" s="65">
        <f>IFERROR(INDEX(tblCourses[Semester],MATCH(SMALL(tblCourses[Rank Key],$I47),tblCourses[Rank Key],0)),"-")</f>
        <v>5</v>
      </c>
      <c r="M47" s="71">
        <f>IFERROR(INDEX(tblCourses[Pass Rate],MATCH(SMALL(tblCourses[Rank Key],$I47),tblCourses[Rank Key],0)),"-")</f>
        <v>0.826086956521739</v>
      </c>
      <c r="N47" s="66">
        <f>IFERROR(INDEX(tblCourses[Rating],MATCH(SMALL(tblCourses[Rank Key],$I47),tblCourses[Rank Key],0)),"-")</f>
        <v>3.95</v>
      </c>
      <c r="O47" s="4" t="n"/>
    </row>
    <row r="48">
      <c r="A48" s="4" t="n"/>
      <c r="B48" s="33" t="n">
        <v>5</v>
      </c>
      <c r="C48" s="59" t="str">
        <f>IFERROR(INDEX(tblCourses[Course Name],MATCH(LARGE(tblCourses[Rank Key],$B48),tblCourses[Rank Key],0)),"-")</f>
        <v>Operating Systems</v>
      </c>
      <c r="D48" s="60" t="str">
        <f>IFERROR(INDEX(tblCourses[Branch],MATCH(LARGE(tblCourses[Rank Key],$B48),tblCourses[Rank Key],0)),"-")</f>
        <v>CSE</v>
      </c>
      <c r="E48" s="61">
        <f>IFERROR(INDEX(tblCourses[Semester],MATCH(LARGE(tblCourses[Rank Key],$B48),tblCourses[Rank Key],0)),"-")</f>
        <v>4</v>
      </c>
      <c r="F48" s="70">
        <f>IFERROR(INDEX(tblCourses[Pass Rate],MATCH(LARGE(tblCourses[Rank Key],$B48),tblCourses[Rank Key],0)),"-")</f>
        <v>0.953846153846154</v>
      </c>
      <c r="G48" s="62">
        <f>IFERROR(INDEX(tblCourses[Rating],MATCH(LARGE(tblCourses[Rank Key],$B48),tblCourses[Rank Key],0)),"-")</f>
        <v>3.96</v>
      </c>
      <c r="H48" s="4" t="n"/>
      <c r="I48" s="33" t="n">
        <v>5</v>
      </c>
      <c r="J48" s="59" t="str">
        <f>IFERROR(INDEX(tblCourses[Course Name],MATCH(SMALL(tblCourses[Rank Key],$I48),tblCourses[Rank Key],0)),"-")</f>
        <v>Data Structures</v>
      </c>
      <c r="K48" s="60" t="str">
        <f>IFERROR(INDEX(tblCourses[Branch],MATCH(SMALL(tblCourses[Rank Key],$I48),tblCourses[Rank Key],0)),"-")</f>
        <v>CSE</v>
      </c>
      <c r="L48" s="61">
        <f>IFERROR(INDEX(tblCourses[Semester],MATCH(SMALL(tblCourses[Rank Key],$I48),tblCourses[Rank Key],0)),"-")</f>
        <v>3</v>
      </c>
      <c r="M48" s="70">
        <f>IFERROR(INDEX(tblCourses[Pass Rate],MATCH(SMALL(tblCourses[Rank Key],$I48),tblCourses[Rank Key],0)),"-")</f>
        <v>0.849056603773585</v>
      </c>
      <c r="N48" s="62">
        <f>IFERROR(INDEX(tblCourses[Rating],MATCH(SMALL(tblCourses[Rank Key],$I48),tblCourses[Rank Key],0)),"-")</f>
        <v>4.36</v>
      </c>
      <c r="O48" s="4" t="n"/>
    </row>
    <row r="49">
      <c r="A49" s="4" t="n"/>
      <c r="B49" s="42" t="n">
        <v>6</v>
      </c>
      <c r="C49" s="63" t="str">
        <f>IFERROR(INDEX(tblCourses[Course Name],MATCH(LARGE(tblCourses[Rank Key],$B49),tblCourses[Rank Key],0)),"-")</f>
        <v>Data Analytics Lab</v>
      </c>
      <c r="D49" s="64" t="str">
        <f>IFERROR(INDEX(tblCourses[Branch],MATCH(LARGE(tblCourses[Rank Key],$B49),tblCourses[Rank Key],0)),"-")</f>
        <v>IT</v>
      </c>
      <c r="E49" s="65">
        <f>IFERROR(INDEX(tblCourses[Semester],MATCH(LARGE(tblCourses[Rank Key],$B49),tblCourses[Rank Key],0)),"-")</f>
        <v>6</v>
      </c>
      <c r="F49" s="71">
        <f>IFERROR(INDEX(tblCourses[Pass Rate],MATCH(LARGE(tblCourses[Rank Key],$B49),tblCourses[Rank Key],0)),"-")</f>
        <v>0.953125</v>
      </c>
      <c r="G49" s="66">
        <f>IFERROR(INDEX(tblCourses[Rating],MATCH(LARGE(tblCourses[Rank Key],$B49),tblCourses[Rank Key],0)),"-")</f>
        <v>3.95</v>
      </c>
      <c r="H49" s="4" t="n"/>
      <c r="I49" s="42" t="n">
        <v>6</v>
      </c>
      <c r="J49" s="63" t="str">
        <f>IFERROR(INDEX(tblCourses[Course Name],MATCH(SMALL(tblCourses[Rank Key],$I49),tblCourses[Rank Key],0)),"-")</f>
        <v>VLSI Design</v>
      </c>
      <c r="K49" s="64" t="str">
        <f>IFERROR(INDEX(tblCourses[Branch],MATCH(SMALL(tblCourses[Rank Key],$I49),tblCourses[Rank Key],0)),"-")</f>
        <v>ECE</v>
      </c>
      <c r="L49" s="65">
        <f>IFERROR(INDEX(tblCourses[Semester],MATCH(SMALL(tblCourses[Rank Key],$I49),tblCourses[Rank Key],0)),"-")</f>
        <v>6</v>
      </c>
      <c r="M49" s="71">
        <f>IFERROR(INDEX(tblCourses[Pass Rate],MATCH(SMALL(tblCourses[Rank Key],$I49),tblCourses[Rank Key],0)),"-")</f>
        <v>0.85</v>
      </c>
      <c r="N49" s="66">
        <f>IFERROR(INDEX(tblCourses[Rating],MATCH(SMALL(tblCourses[Rank Key],$I49),tblCourses[Rank Key],0)),"-")</f>
        <v>3.57</v>
      </c>
      <c r="O49" s="4" t="n"/>
    </row>
    <row r="50">
      <c r="A50" s="4" t="n"/>
      <c r="B50" s="33" t="n">
        <v>7</v>
      </c>
      <c r="C50" s="59" t="str">
        <f>IFERROR(INDEX(tblCourses[Course Name],MATCH(LARGE(tblCourses[Rank Key],$B50),tblCourses[Rank Key],0)),"-")</f>
        <v>Database Management Systems</v>
      </c>
      <c r="D50" s="60" t="str">
        <f>IFERROR(INDEX(tblCourses[Branch],MATCH(LARGE(tblCourses[Rank Key],$B50),tblCourses[Rank Key],0)),"-")</f>
        <v>CSE</v>
      </c>
      <c r="E50" s="61">
        <f>IFERROR(INDEX(tblCourses[Semester],MATCH(LARGE(tblCourses[Rank Key],$B50),tblCourses[Rank Key],0)),"-")</f>
        <v>4</v>
      </c>
      <c r="F50" s="70">
        <f>IFERROR(INDEX(tblCourses[Pass Rate],MATCH(LARGE(tblCourses[Rank Key],$B50),tblCourses[Rank Key],0)),"-")</f>
        <v>0.950819672131148</v>
      </c>
      <c r="G50" s="62">
        <f>IFERROR(INDEX(tblCourses[Rating],MATCH(LARGE(tblCourses[Rank Key],$B50),tblCourses[Rank Key],0)),"-")</f>
        <v>4.29</v>
      </c>
      <c r="H50" s="4" t="n"/>
      <c r="I50" s="33" t="n">
        <v>7</v>
      </c>
      <c r="J50" s="59" t="str">
        <f>IFERROR(INDEX(tblCourses[Course Name],MATCH(SMALL(tblCourses[Rank Key],$I50),tblCourses[Rank Key],0)),"-")</f>
        <v>Machine Design</v>
      </c>
      <c r="K50" s="60" t="str">
        <f>IFERROR(INDEX(tblCourses[Branch],MATCH(SMALL(tblCourses[Rank Key],$I50),tblCourses[Rank Key],0)),"-")</f>
        <v>ME</v>
      </c>
      <c r="L50" s="61">
        <f>IFERROR(INDEX(tblCourses[Semester],MATCH(SMALL(tblCourses[Rank Key],$I50),tblCourses[Rank Key],0)),"-")</f>
        <v>5</v>
      </c>
      <c r="M50" s="70">
        <f>IFERROR(INDEX(tblCourses[Pass Rate],MATCH(SMALL(tblCourses[Rank Key],$I50),tblCourses[Rank Key],0)),"-")</f>
        <v>0.859649122807018</v>
      </c>
      <c r="N50" s="62">
        <f>IFERROR(INDEX(tblCourses[Rating],MATCH(SMALL(tblCourses[Rank Key],$I50),tblCourses[Rank Key],0)),"-")</f>
        <v>3.81</v>
      </c>
      <c r="O50" s="4" t="n"/>
    </row>
    <row r="51">
      <c r="A51" s="4" t="n"/>
      <c r="B51" s="42" t="n">
        <v>8</v>
      </c>
      <c r="C51" s="63" t="str">
        <f>IFERROR(INDEX(tblCourses[Course Name],MATCH(LARGE(tblCourses[Rank Key],$B51),tblCourses[Rank Key],0)),"-")</f>
        <v>Communication Systems</v>
      </c>
      <c r="D51" s="64" t="str">
        <f>IFERROR(INDEX(tblCourses[Branch],MATCH(LARGE(tblCourses[Rank Key],$B51),tblCourses[Rank Key],0)),"-")</f>
        <v>ECE</v>
      </c>
      <c r="E51" s="65">
        <f>IFERROR(INDEX(tblCourses[Semester],MATCH(LARGE(tblCourses[Rank Key],$B51),tblCourses[Rank Key],0)),"-")</f>
        <v>5</v>
      </c>
      <c r="F51" s="71">
        <f>IFERROR(INDEX(tblCourses[Pass Rate],MATCH(LARGE(tblCourses[Rank Key],$B51),tblCourses[Rank Key],0)),"-")</f>
        <v>0.935483870967742</v>
      </c>
      <c r="G51" s="66">
        <f>IFERROR(INDEX(tblCourses[Rating],MATCH(LARGE(tblCourses[Rank Key],$B51),tblCourses[Rank Key],0)),"-")</f>
        <v>4.62</v>
      </c>
      <c r="H51" s="4" t="n"/>
      <c r="I51" s="42" t="n">
        <v>8</v>
      </c>
      <c r="J51" s="63" t="str">
        <f>IFERROR(INDEX(tblCourses[Course Name],MATCH(SMALL(tblCourses[Rank Key],$I51),tblCourses[Rank Key],0)),"-")</f>
        <v>Transportation Engineering</v>
      </c>
      <c r="K51" s="64" t="str">
        <f>IFERROR(INDEX(tblCourses[Branch],MATCH(SMALL(tblCourses[Rank Key],$I51),tblCourses[Rank Key],0)),"-")</f>
        <v>CE</v>
      </c>
      <c r="L51" s="65">
        <f>IFERROR(INDEX(tblCourses[Semester],MATCH(SMALL(tblCourses[Rank Key],$I51),tblCourses[Rank Key],0)),"-")</f>
        <v>6</v>
      </c>
      <c r="M51" s="71">
        <f>IFERROR(INDEX(tblCourses[Pass Rate],MATCH(SMALL(tblCourses[Rank Key],$I51),tblCourses[Rank Key],0)),"-")</f>
        <v>0.865671641791045</v>
      </c>
      <c r="N51" s="66">
        <f>IFERROR(INDEX(tblCourses[Rating],MATCH(SMALL(tblCourses[Rank Key],$I51),tblCourses[Rank Key],0)),"-")</f>
        <v>4.8</v>
      </c>
      <c r="O51" s="4" t="n"/>
    </row>
    <row r="52">
      <c r="A52" s="4" t="n"/>
      <c r="B52" s="33" t="n">
        <v>9</v>
      </c>
      <c r="C52" s="59" t="str">
        <f>IFERROR(INDEX(tblCourses[Course Name],MATCH(LARGE(tblCourses[Rank Key],$B52),tblCourses[Rank Key],0)),"-")</f>
        <v>Cloud Computing</v>
      </c>
      <c r="D52" s="60" t="str">
        <f>IFERROR(INDEX(tblCourses[Branch],MATCH(LARGE(tblCourses[Rank Key],$B52),tblCourses[Rank Key],0)),"-")</f>
        <v>IT</v>
      </c>
      <c r="E52" s="61">
        <f>IFERROR(INDEX(tblCourses[Semester],MATCH(LARGE(tblCourses[Rank Key],$B52),tblCourses[Rank Key],0)),"-")</f>
        <v>6</v>
      </c>
      <c r="F52" s="70">
        <f>IFERROR(INDEX(tblCourses[Pass Rate],MATCH(LARGE(tblCourses[Rank Key],$B52),tblCourses[Rank Key],0)),"-")</f>
        <v>0.934782608695652</v>
      </c>
      <c r="G52" s="62">
        <f>IFERROR(INDEX(tblCourses[Rating],MATCH(LARGE(tblCourses[Rank Key],$B52),tblCourses[Rank Key],0)),"-")</f>
        <v>3.94</v>
      </c>
      <c r="H52" s="4" t="n"/>
      <c r="I52" s="33" t="n">
        <v>9</v>
      </c>
      <c r="J52" s="59" t="str">
        <f>IFERROR(INDEX(tblCourses[Course Name],MATCH(SMALL(tblCourses[Rank Key],$I52),tblCourses[Rank Key],0)),"-")</f>
        <v>Microprocessors Lab</v>
      </c>
      <c r="K52" s="60" t="str">
        <f>IFERROR(INDEX(tblCourses[Branch],MATCH(SMALL(tblCourses[Rank Key],$I52),tblCourses[Rank Key],0)),"-")</f>
        <v>ECE</v>
      </c>
      <c r="L52" s="61">
        <f>IFERROR(INDEX(tblCourses[Semester],MATCH(SMALL(tblCourses[Rank Key],$I52),tblCourses[Rank Key],0)),"-")</f>
        <v>4</v>
      </c>
      <c r="M52" s="70">
        <f>IFERROR(INDEX(tblCourses[Pass Rate],MATCH(SMALL(tblCourses[Rank Key],$I52),tblCourses[Rank Key],0)),"-")</f>
        <v>0.871428571428571</v>
      </c>
      <c r="N52" s="62">
        <f>IFERROR(INDEX(tblCourses[Rating],MATCH(SMALL(tblCourses[Rank Key],$I52),tblCourses[Rank Key],0)),"-")</f>
        <v>3.54</v>
      </c>
      <c r="O52" s="4" t="n"/>
    </row>
    <row r="53">
      <c r="A53" s="4" t="n"/>
      <c r="B53" s="42" t="n">
        <v>10</v>
      </c>
      <c r="C53" s="63" t="str">
        <f>IFERROR(INDEX(tblCourses[Course Name],MATCH(LARGE(tblCourses[Rank Key],$B53),tblCourses[Rank Key],0)),"-")</f>
        <v>Fluid Mechanics</v>
      </c>
      <c r="D53" s="64" t="str">
        <f>IFERROR(INDEX(tblCourses[Branch],MATCH(LARGE(tblCourses[Rank Key],$B53),tblCourses[Rank Key],0)),"-")</f>
        <v>ME</v>
      </c>
      <c r="E53" s="65">
        <f>IFERROR(INDEX(tblCourses[Semester],MATCH(LARGE(tblCourses[Rank Key],$B53),tblCourses[Rank Key],0)),"-")</f>
        <v>4</v>
      </c>
      <c r="F53" s="71">
        <f>IFERROR(INDEX(tblCourses[Pass Rate],MATCH(LARGE(tblCourses[Rank Key],$B53),tblCourses[Rank Key],0)),"-")</f>
        <v>0.926470588235294</v>
      </c>
      <c r="G53" s="66">
        <f>IFERROR(INDEX(tblCourses[Rating],MATCH(LARGE(tblCourses[Rank Key],$B53),tblCourses[Rank Key],0)),"-")</f>
        <v>4.16</v>
      </c>
      <c r="H53" s="4" t="n"/>
      <c r="I53" s="42" t="n">
        <v>10</v>
      </c>
      <c r="J53" s="63" t="str">
        <f>IFERROR(INDEX(tblCourses[Course Name],MATCH(SMALL(tblCourses[Rank Key],$I53),tblCourses[Rank Key],0)),"-")</f>
        <v>Heat Transfer</v>
      </c>
      <c r="K53" s="64" t="str">
        <f>IFERROR(INDEX(tblCourses[Branch],MATCH(SMALL(tblCourses[Rank Key],$I53),tblCourses[Rank Key],0)),"-")</f>
        <v>ME</v>
      </c>
      <c r="L53" s="65">
        <f>IFERROR(INDEX(tblCourses[Semester],MATCH(SMALL(tblCourses[Rank Key],$I53),tblCourses[Rank Key],0)),"-")</f>
        <v>5</v>
      </c>
      <c r="M53" s="71">
        <f>IFERROR(INDEX(tblCourses[Pass Rate],MATCH(SMALL(tblCourses[Rank Key],$I53),tblCourses[Rank Key],0)),"-")</f>
        <v>0.875</v>
      </c>
      <c r="N53" s="66">
        <f>IFERROR(INDEX(tblCourses[Rating],MATCH(SMALL(tblCourses[Rank Key],$I53),tblCourses[Rank Key],0)),"-")</f>
        <v>4.03</v>
      </c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 ht="28" customHeight="1">
      <c r="A55" s="4" t="n"/>
      <c r="B55" s="52" t="inlineStr">
        <is>
          <t>Pass rate = students passed ÷ students enrolled. Ranks respect the active filters; with fewer than 10 matching courses the remaining rows show '-'.</t>
        </is>
      </c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</sheetData>
  <mergeCells count="22">
    <mergeCell ref="E10:G10"/>
    <mergeCell ref="B42:G42"/>
    <mergeCell ref="B3:C3"/>
    <mergeCell ref="B55:N55"/>
    <mergeCell ref="B10:D10"/>
    <mergeCell ref="L10:N10"/>
    <mergeCell ref="I5:N5"/>
    <mergeCell ref="I42:N42"/>
    <mergeCell ref="E8:G9"/>
    <mergeCell ref="E7:G7"/>
    <mergeCell ref="B8:D9"/>
    <mergeCell ref="I3:J3"/>
    <mergeCell ref="I10:K10"/>
    <mergeCell ref="L8:N9"/>
    <mergeCell ref="M3:N3"/>
    <mergeCell ref="B7:D7"/>
    <mergeCell ref="B2:N2"/>
    <mergeCell ref="L7:N7"/>
    <mergeCell ref="B1:N1"/>
    <mergeCell ref="I8:K9"/>
    <mergeCell ref="I7:K7"/>
    <mergeCell ref="K3:L3"/>
  </mergeCells>
  <conditionalFormatting sqref="I8">
    <cfRule type="cellIs" priority="1" operator="lessThan" dxfId="6">
      <formula>p_CoursePass</formula>
    </cfRule>
    <cfRule type="cellIs" priority="2" operator="greaterThanOrEqual" dxfId="1">
      <formula>p_CoursePass</formula>
    </cfRule>
  </conditionalFormatting>
  <conditionalFormatting sqref="F44:F53">
    <cfRule type="cellIs" priority="3" operator="lessThan" dxfId="7">
      <formula>p_CoursePass</formula>
    </cfRule>
    <cfRule type="cellIs" priority="4" operator="greaterThanOrEqual" dxfId="5">
      <formula>p_CoursePass</formula>
    </cfRule>
  </conditionalFormatting>
  <conditionalFormatting sqref="M44:M53">
    <cfRule type="cellIs" priority="5" operator="lessThan" dxfId="7">
      <formula>p_CoursePass</formula>
    </cfRule>
    <cfRule type="cellIs" priority="6" operator="greaterThanOrEqual" dxfId="5">
      <formula>p_CoursePass</formula>
    </cfRule>
  </conditionalFormatting>
  <dataValidations count="3">
    <dataValidation sqref="C5" showDropDown="0" showInputMessage="0" showErrorMessage="1" allowBlank="0" error="Pick a value from the dropdown" type="list">
      <formula1>=Lists!$C$4:$C$9</formula1>
    </dataValidation>
    <dataValidation sqref="E5" showDropDown="0" showInputMessage="0" showErrorMessage="1" allowBlank="0" error="Pick a value from the dropdown" type="list">
      <formula1>=Lists!$E$4:$E$12</formula1>
    </dataValidation>
    <dataValidation sqref="G5" showDropDown="0" showInputMessage="0" showErrorMessage="1" allowBlank="0" error="Pick a value from the dropdown" type="list">
      <formula1>=Lists!$G$4:$G$8</formula1>
    </dataValidation>
  </dataValidations>
  <hyperlinks>
    <hyperlink ref="B3" location="'Overview'!A1" display="« Overview"/>
    <hyperlink ref="D3" location="'Student Dashboard'!A1" display="Students"/>
    <hyperlink ref="E3" location="'Attendance Dashboard'!A1" display="Attendance"/>
    <hyperlink ref="F3" location="'Faculty Dashboard'!A1" display="Faculty"/>
    <hyperlink ref="G3" location="'Placement Dashboard'!A1" display="Placements"/>
    <hyperlink ref="K3" location="'Instructions'!A1" display="Instructions"/>
    <hyperlink ref="M3" location="'Courses'!A1" display="Data »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F7B7B"/>
    <outlinePr summaryBelow="1" summaryRight="1"/>
    <pageSetUpPr/>
  </sheetPr>
  <dimension ref="A1:M244"/>
  <sheetViews>
    <sheetView showGridLines="1" tabSelected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8" customWidth="1" min="12" max="12"/>
    <col width="12" customWidth="1" min="13" max="13"/>
  </cols>
  <sheetData>
    <row r="1" ht="30" customHeight="1">
      <c r="A1" s="74" t="inlineStr">
        <is>
          <t>Student Performance Data  |  tblStudents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75" t="inlineStr">
        <is>
          <t>« Back to Overview</t>
        </is>
      </c>
    </row>
    <row r="3">
      <c r="A3" s="76" t="inlineStr">
        <is>
          <t>Navy header = input column (type or paste data)   |   Teal header = formula column (fills automatically, do not overwrite)</t>
        </is>
      </c>
    </row>
    <row r="4" ht="32" customHeight="1">
      <c r="A4" s="77" t="inlineStr">
        <is>
          <t>StudentID</t>
        </is>
      </c>
      <c r="B4" s="77" t="inlineStr">
        <is>
          <t>Student Name</t>
        </is>
      </c>
      <c r="C4" s="77" t="inlineStr">
        <is>
          <t>Gender</t>
        </is>
      </c>
      <c r="D4" s="77" t="inlineStr">
        <is>
          <t>Branch</t>
        </is>
      </c>
      <c r="E4" s="77" t="inlineStr">
        <is>
          <t>Semester</t>
        </is>
      </c>
      <c r="F4" s="77" t="inlineStr">
        <is>
          <t>Year</t>
        </is>
      </c>
      <c r="G4" s="77" t="inlineStr">
        <is>
          <t>Internal Marks</t>
        </is>
      </c>
      <c r="H4" s="77" t="inlineStr">
        <is>
          <t>External Marks</t>
        </is>
      </c>
      <c r="I4" s="78" t="inlineStr">
        <is>
          <t>Total Marks</t>
        </is>
      </c>
      <c r="J4" s="78" t="inlineStr">
        <is>
          <t>Result</t>
        </is>
      </c>
      <c r="K4" s="78" t="inlineStr">
        <is>
          <t>Grade</t>
        </is>
      </c>
      <c r="L4" s="78" t="inlineStr">
        <is>
          <t>SGPA</t>
        </is>
      </c>
      <c r="M4" s="78" t="inlineStr">
        <is>
          <t>Rank Key</t>
        </is>
      </c>
    </row>
    <row r="5">
      <c r="A5" s="79" t="inlineStr">
        <is>
          <t>STU1001</t>
        </is>
      </c>
      <c r="B5" s="79" t="inlineStr">
        <is>
          <t>Shubham Chatterjee</t>
        </is>
      </c>
      <c r="C5" s="80" t="inlineStr">
        <is>
          <t>M</t>
        </is>
      </c>
      <c r="D5" s="80" t="inlineStr">
        <is>
          <t>IT</t>
        </is>
      </c>
      <c r="E5" s="80" t="n">
        <v>2</v>
      </c>
      <c r="F5" s="80" t="n">
        <v>2024</v>
      </c>
      <c r="G5" s="80" t="n">
        <v>29</v>
      </c>
      <c r="H5" s="80" t="n">
        <v>44</v>
      </c>
      <c r="I5" s="80">
        <f>tblStudents[[#This Row],[Internal Marks]]+tblStudents[[#This Row],[External Marks]]</f>
        <v>73</v>
      </c>
      <c r="J5" s="80" t="str">
        <f>IF(AND(tblStudents[[#This Row],[Total Marks]]&gt;=p_PassTotal,tblStudents[[#This Row],[External Marks]]&gt;=p_PassExt),"Pass","Fail")</f>
        <v>Pass</v>
      </c>
      <c r="K5" s="80" t="str">
        <f>IF(tblStudents[[#This Row],[Result]]="Fail","F",INDEX(Lists!$J$4:$J$11,MATCH(tblStudents[[#This Row],[Total Marks]],Lists!$I$4:$I$11,1)))</f>
        <v>A</v>
      </c>
      <c r="L5" s="81">
        <f>IF(tblStudents[[#This Row],[Result]]="Pass",ROUND(MIN(10,tblStudents[[#This Row],[Total Marks]]/p_SgpaDiv),2),0)</f>
        <v>7.68</v>
      </c>
      <c r="M5" s="82">
        <f>IF(COUNTIFS(tblStudents[[#This Row],[Branch]],cSt_B,tblStudents[[#This Row],[Semester]],cSt_S,tblStudents[[#This Row],[Year]],cSt_Y)=1,tblStudents[[#This Row],[Total Marks]]+ROW()/1000000,"")</f>
        <v>73.000005</v>
      </c>
    </row>
    <row r="6">
      <c r="A6" s="79" t="inlineStr">
        <is>
          <t>STU1002</t>
        </is>
      </c>
      <c r="B6" s="79" t="inlineStr">
        <is>
          <t>Srishti Tyagi</t>
        </is>
      </c>
      <c r="C6" s="80" t="inlineStr">
        <is>
          <t>F</t>
        </is>
      </c>
      <c r="D6" s="80" t="inlineStr">
        <is>
          <t>CSE</t>
        </is>
      </c>
      <c r="E6" s="80" t="n">
        <v>2</v>
      </c>
      <c r="F6" s="80" t="n">
        <v>2023</v>
      </c>
      <c r="G6" s="80" t="n">
        <v>30</v>
      </c>
      <c r="H6" s="80" t="n">
        <v>22</v>
      </c>
      <c r="I6" s="80">
        <f>tblStudents[[#This Row],[Internal Marks]]+tblStudents[[#This Row],[External Marks]]</f>
        <v>52</v>
      </c>
      <c r="J6" s="80" t="str">
        <f>IF(AND(tblStudents[[#This Row],[Total Marks]]&gt;=p_PassTotal,tblStudents[[#This Row],[External Marks]]&gt;=p_PassExt),"Pass","Fail")</f>
        <v>Fail</v>
      </c>
      <c r="K6" s="80" t="str">
        <f>IF(tblStudents[[#This Row],[Result]]="Fail","F",INDEX(Lists!$J$4:$J$11,MATCH(tblStudents[[#This Row],[Total Marks]],Lists!$I$4:$I$11,1)))</f>
        <v>F</v>
      </c>
      <c r="L6" s="81">
        <f>IF(tblStudents[[#This Row],[Result]]="Pass",ROUND(MIN(10,tblStudents[[#This Row],[Total Marks]]/p_SgpaDiv),2),0)</f>
        <v>0</v>
      </c>
      <c r="M6" s="82">
        <f>IF(COUNTIFS(tblStudents[[#This Row],[Branch]],cSt_B,tblStudents[[#This Row],[Semester]],cSt_S,tblStudents[[#This Row],[Year]],cSt_Y)=1,tblStudents[[#This Row],[Total Marks]]+ROW()/1000000,"")</f>
        <v>52.000006</v>
      </c>
    </row>
    <row r="7">
      <c r="A7" s="79" t="inlineStr">
        <is>
          <t>STU1003</t>
        </is>
      </c>
      <c r="B7" s="79" t="inlineStr">
        <is>
          <t>Pallavi Srivastava</t>
        </is>
      </c>
      <c r="C7" s="80" t="inlineStr">
        <is>
          <t>F</t>
        </is>
      </c>
      <c r="D7" s="80" t="inlineStr">
        <is>
          <t>ECE</t>
        </is>
      </c>
      <c r="E7" s="80" t="n">
        <v>6</v>
      </c>
      <c r="F7" s="80" t="n">
        <v>2025</v>
      </c>
      <c r="G7" s="80" t="n">
        <v>20</v>
      </c>
      <c r="H7" s="80" t="n">
        <v>49</v>
      </c>
      <c r="I7" s="80">
        <f>tblStudents[[#This Row],[Internal Marks]]+tblStudents[[#This Row],[External Marks]]</f>
        <v>69</v>
      </c>
      <c r="J7" s="80" t="str">
        <f>IF(AND(tblStudents[[#This Row],[Total Marks]]&gt;=p_PassTotal,tblStudents[[#This Row],[External Marks]]&gt;=p_PassExt),"Pass","Fail")</f>
        <v>Pass</v>
      </c>
      <c r="K7" s="80" t="str">
        <f>IF(tblStudents[[#This Row],[Result]]="Fail","F",INDEX(Lists!$J$4:$J$11,MATCH(tblStudents[[#This Row],[Total Marks]],Lists!$I$4:$I$11,1)))</f>
        <v>B+</v>
      </c>
      <c r="L7" s="81">
        <f>IF(tblStudents[[#This Row],[Result]]="Pass",ROUND(MIN(10,tblStudents[[#This Row],[Total Marks]]/p_SgpaDiv),2),0)</f>
        <v>7.26</v>
      </c>
      <c r="M7" s="82">
        <f>IF(COUNTIFS(tblStudents[[#This Row],[Branch]],cSt_B,tblStudents[[#This Row],[Semester]],cSt_S,tblStudents[[#This Row],[Year]],cSt_Y)=1,tblStudents[[#This Row],[Total Marks]]+ROW()/1000000,"")</f>
        <v>69.000007</v>
      </c>
    </row>
    <row r="8">
      <c r="A8" s="79" t="inlineStr">
        <is>
          <t>STU1004</t>
        </is>
      </c>
      <c r="B8" s="79" t="inlineStr">
        <is>
          <t>Komal Shah</t>
        </is>
      </c>
      <c r="C8" s="80" t="inlineStr">
        <is>
          <t>F</t>
        </is>
      </c>
      <c r="D8" s="80" t="inlineStr">
        <is>
          <t>CSE</t>
        </is>
      </c>
      <c r="E8" s="80" t="n">
        <v>5</v>
      </c>
      <c r="F8" s="80" t="n">
        <v>2023</v>
      </c>
      <c r="G8" s="80" t="n">
        <v>30</v>
      </c>
      <c r="H8" s="80" t="n">
        <v>39</v>
      </c>
      <c r="I8" s="80">
        <f>tblStudents[[#This Row],[Internal Marks]]+tblStudents[[#This Row],[External Marks]]</f>
        <v>69</v>
      </c>
      <c r="J8" s="80" t="str">
        <f>IF(AND(tblStudents[[#This Row],[Total Marks]]&gt;=p_PassTotal,tblStudents[[#This Row],[External Marks]]&gt;=p_PassExt),"Pass","Fail")</f>
        <v>Pass</v>
      </c>
      <c r="K8" s="80" t="str">
        <f>IF(tblStudents[[#This Row],[Result]]="Fail","F",INDEX(Lists!$J$4:$J$11,MATCH(tblStudents[[#This Row],[Total Marks]],Lists!$I$4:$I$11,1)))</f>
        <v>B+</v>
      </c>
      <c r="L8" s="81">
        <f>IF(tblStudents[[#This Row],[Result]]="Pass",ROUND(MIN(10,tblStudents[[#This Row],[Total Marks]]/p_SgpaDiv),2),0)</f>
        <v>7.26</v>
      </c>
      <c r="M8" s="82">
        <f>IF(COUNTIFS(tblStudents[[#This Row],[Branch]],cSt_B,tblStudents[[#This Row],[Semester]],cSt_S,tblStudents[[#This Row],[Year]],cSt_Y)=1,tblStudents[[#This Row],[Total Marks]]+ROW()/1000000,"")</f>
        <v>69.000008</v>
      </c>
    </row>
    <row r="9">
      <c r="A9" s="79" t="inlineStr">
        <is>
          <t>STU1005</t>
        </is>
      </c>
      <c r="B9" s="79" t="inlineStr">
        <is>
          <t>Saurabh Dubey</t>
        </is>
      </c>
      <c r="C9" s="80" t="inlineStr">
        <is>
          <t>M</t>
        </is>
      </c>
      <c r="D9" s="80" t="inlineStr">
        <is>
          <t>ME</t>
        </is>
      </c>
      <c r="E9" s="80" t="n">
        <v>2</v>
      </c>
      <c r="F9" s="80" t="n">
        <v>2026</v>
      </c>
      <c r="G9" s="80" t="n">
        <v>20</v>
      </c>
      <c r="H9" s="80" t="n">
        <v>21</v>
      </c>
      <c r="I9" s="80">
        <f>tblStudents[[#This Row],[Internal Marks]]+tblStudents[[#This Row],[External Marks]]</f>
        <v>41</v>
      </c>
      <c r="J9" s="80" t="str">
        <f>IF(AND(tblStudents[[#This Row],[Total Marks]]&gt;=p_PassTotal,tblStudents[[#This Row],[External Marks]]&gt;=p_PassExt),"Pass","Fail")</f>
        <v>Fail</v>
      </c>
      <c r="K9" s="80" t="str">
        <f>IF(tblStudents[[#This Row],[Result]]="Fail","F",INDEX(Lists!$J$4:$J$11,MATCH(tblStudents[[#This Row],[Total Marks]],Lists!$I$4:$I$11,1)))</f>
        <v>F</v>
      </c>
      <c r="L9" s="81">
        <f>IF(tblStudents[[#This Row],[Result]]="Pass",ROUND(MIN(10,tblStudents[[#This Row],[Total Marks]]/p_SgpaDiv),2),0)</f>
        <v>0</v>
      </c>
      <c r="M9" s="82">
        <f>IF(COUNTIFS(tblStudents[[#This Row],[Branch]],cSt_B,tblStudents[[#This Row],[Semester]],cSt_S,tblStudents[[#This Row],[Year]],cSt_Y)=1,tblStudents[[#This Row],[Total Marks]]+ROW()/1000000,"")</f>
        <v>41.000009</v>
      </c>
    </row>
    <row r="10">
      <c r="A10" s="79" t="inlineStr">
        <is>
          <t>STU1006</t>
        </is>
      </c>
      <c r="B10" s="79" t="inlineStr">
        <is>
          <t>Garima Thakur</t>
        </is>
      </c>
      <c r="C10" s="80" t="inlineStr">
        <is>
          <t>F</t>
        </is>
      </c>
      <c r="D10" s="80" t="inlineStr">
        <is>
          <t>IT</t>
        </is>
      </c>
      <c r="E10" s="80" t="n">
        <v>8</v>
      </c>
      <c r="F10" s="80" t="n">
        <v>2023</v>
      </c>
      <c r="G10" s="80" t="n">
        <v>21</v>
      </c>
      <c r="H10" s="80" t="n">
        <v>32</v>
      </c>
      <c r="I10" s="80">
        <f>tblStudents[[#This Row],[Internal Marks]]+tblStudents[[#This Row],[External Marks]]</f>
        <v>53</v>
      </c>
      <c r="J10" s="80" t="str">
        <f>IF(AND(tblStudents[[#This Row],[Total Marks]]&gt;=p_PassTotal,tblStudents[[#This Row],[External Marks]]&gt;=p_PassExt),"Pass","Fail")</f>
        <v>Pass</v>
      </c>
      <c r="K10" s="80" t="str">
        <f>IF(tblStudents[[#This Row],[Result]]="Fail","F",INDEX(Lists!$J$4:$J$11,MATCH(tblStudents[[#This Row],[Total Marks]],Lists!$I$4:$I$11,1)))</f>
        <v>B</v>
      </c>
      <c r="L10" s="81">
        <f>IF(tblStudents[[#This Row],[Result]]="Pass",ROUND(MIN(10,tblStudents[[#This Row],[Total Marks]]/p_SgpaDiv),2),0)</f>
        <v>5.58</v>
      </c>
      <c r="M10" s="82">
        <f>IF(COUNTIFS(tblStudents[[#This Row],[Branch]],cSt_B,tblStudents[[#This Row],[Semester]],cSt_S,tblStudents[[#This Row],[Year]],cSt_Y)=1,tblStudents[[#This Row],[Total Marks]]+ROW()/1000000,"")</f>
        <v>53.00001</v>
      </c>
    </row>
    <row r="11">
      <c r="A11" s="79" t="inlineStr">
        <is>
          <t>STU1007</t>
        </is>
      </c>
      <c r="B11" s="79" t="inlineStr">
        <is>
          <t>Parth Patel</t>
        </is>
      </c>
      <c r="C11" s="80" t="inlineStr">
        <is>
          <t>M</t>
        </is>
      </c>
      <c r="D11" s="80" t="inlineStr">
        <is>
          <t>ECE</t>
        </is>
      </c>
      <c r="E11" s="80" t="n">
        <v>8</v>
      </c>
      <c r="F11" s="80" t="n">
        <v>2024</v>
      </c>
      <c r="G11" s="80" t="n">
        <v>27</v>
      </c>
      <c r="H11" s="80" t="n">
        <v>41</v>
      </c>
      <c r="I11" s="80">
        <f>tblStudents[[#This Row],[Internal Marks]]+tblStudents[[#This Row],[External Marks]]</f>
        <v>68</v>
      </c>
      <c r="J11" s="80" t="str">
        <f>IF(AND(tblStudents[[#This Row],[Total Marks]]&gt;=p_PassTotal,tblStudents[[#This Row],[External Marks]]&gt;=p_PassExt),"Pass","Fail")</f>
        <v>Pass</v>
      </c>
      <c r="K11" s="80" t="str">
        <f>IF(tblStudents[[#This Row],[Result]]="Fail","F",INDEX(Lists!$J$4:$J$11,MATCH(tblStudents[[#This Row],[Total Marks]],Lists!$I$4:$I$11,1)))</f>
        <v>B+</v>
      </c>
      <c r="L11" s="81">
        <f>IF(tblStudents[[#This Row],[Result]]="Pass",ROUND(MIN(10,tblStudents[[#This Row],[Total Marks]]/p_SgpaDiv),2),0)</f>
        <v>7.16</v>
      </c>
      <c r="M11" s="82">
        <f>IF(COUNTIFS(tblStudents[[#This Row],[Branch]],cSt_B,tblStudents[[#This Row],[Semester]],cSt_S,tblStudents[[#This Row],[Year]],cSt_Y)=1,tblStudents[[#This Row],[Total Marks]]+ROW()/1000000,"")</f>
        <v>68.000011</v>
      </c>
    </row>
    <row r="12">
      <c r="A12" s="79" t="inlineStr">
        <is>
          <t>STU1008</t>
        </is>
      </c>
      <c r="B12" s="79" t="inlineStr">
        <is>
          <t>Tanya Iyer</t>
        </is>
      </c>
      <c r="C12" s="80" t="inlineStr">
        <is>
          <t>F</t>
        </is>
      </c>
      <c r="D12" s="80" t="inlineStr">
        <is>
          <t>CE</t>
        </is>
      </c>
      <c r="E12" s="80" t="n">
        <v>5</v>
      </c>
      <c r="F12" s="80" t="n">
        <v>2026</v>
      </c>
      <c r="G12" s="80" t="n">
        <v>22</v>
      </c>
      <c r="H12" s="80" t="n">
        <v>21</v>
      </c>
      <c r="I12" s="80">
        <f>tblStudents[[#This Row],[Internal Marks]]+tblStudents[[#This Row],[External Marks]]</f>
        <v>43</v>
      </c>
      <c r="J12" s="80" t="str">
        <f>IF(AND(tblStudents[[#This Row],[Total Marks]]&gt;=p_PassTotal,tblStudents[[#This Row],[External Marks]]&gt;=p_PassExt),"Pass","Fail")</f>
        <v>Fail</v>
      </c>
      <c r="K12" s="80" t="str">
        <f>IF(tblStudents[[#This Row],[Result]]="Fail","F",INDEX(Lists!$J$4:$J$11,MATCH(tblStudents[[#This Row],[Total Marks]],Lists!$I$4:$I$11,1)))</f>
        <v>F</v>
      </c>
      <c r="L12" s="81">
        <f>IF(tblStudents[[#This Row],[Result]]="Pass",ROUND(MIN(10,tblStudents[[#This Row],[Total Marks]]/p_SgpaDiv),2),0)</f>
        <v>0</v>
      </c>
      <c r="M12" s="82">
        <f>IF(COUNTIFS(tblStudents[[#This Row],[Branch]],cSt_B,tblStudents[[#This Row],[Semester]],cSt_S,tblStudents[[#This Row],[Year]],cSt_Y)=1,tblStudents[[#This Row],[Total Marks]]+ROW()/1000000,"")</f>
        <v>43.000012</v>
      </c>
    </row>
    <row r="13">
      <c r="A13" s="79" t="inlineStr">
        <is>
          <t>STU1009</t>
        </is>
      </c>
      <c r="B13" s="79" t="inlineStr">
        <is>
          <t>Ananya Gupta</t>
        </is>
      </c>
      <c r="C13" s="80" t="inlineStr">
        <is>
          <t>F</t>
        </is>
      </c>
      <c r="D13" s="80" t="inlineStr">
        <is>
          <t>CSE</t>
        </is>
      </c>
      <c r="E13" s="80" t="n">
        <v>8</v>
      </c>
      <c r="F13" s="80" t="n">
        <v>2026</v>
      </c>
      <c r="G13" s="80" t="n">
        <v>28</v>
      </c>
      <c r="H13" s="80" t="n">
        <v>38</v>
      </c>
      <c r="I13" s="80">
        <f>tblStudents[[#This Row],[Internal Marks]]+tblStudents[[#This Row],[External Marks]]</f>
        <v>66</v>
      </c>
      <c r="J13" s="80" t="str">
        <f>IF(AND(tblStudents[[#This Row],[Total Marks]]&gt;=p_PassTotal,tblStudents[[#This Row],[External Marks]]&gt;=p_PassExt),"Pass","Fail")</f>
        <v>Pass</v>
      </c>
      <c r="K13" s="80" t="str">
        <f>IF(tblStudents[[#This Row],[Result]]="Fail","F",INDEX(Lists!$J$4:$J$11,MATCH(tblStudents[[#This Row],[Total Marks]],Lists!$I$4:$I$11,1)))</f>
        <v>B+</v>
      </c>
      <c r="L13" s="81">
        <f>IF(tblStudents[[#This Row],[Result]]="Pass",ROUND(MIN(10,tblStudents[[#This Row],[Total Marks]]/p_SgpaDiv),2),0)</f>
        <v>6.95</v>
      </c>
      <c r="M13" s="82">
        <f>IF(COUNTIFS(tblStudents[[#This Row],[Branch]],cSt_B,tblStudents[[#This Row],[Semester]],cSt_S,tblStudents[[#This Row],[Year]],cSt_Y)=1,tblStudents[[#This Row],[Total Marks]]+ROW()/1000000,"")</f>
        <v>66.000013</v>
      </c>
    </row>
    <row r="14">
      <c r="A14" s="79" t="inlineStr">
        <is>
          <t>STU1010</t>
        </is>
      </c>
      <c r="B14" s="79" t="inlineStr">
        <is>
          <t>Ritika Siddiqui</t>
        </is>
      </c>
      <c r="C14" s="80" t="inlineStr">
        <is>
          <t>F</t>
        </is>
      </c>
      <c r="D14" s="80" t="inlineStr">
        <is>
          <t>CE</t>
        </is>
      </c>
      <c r="E14" s="80" t="n">
        <v>1</v>
      </c>
      <c r="F14" s="80" t="n">
        <v>2025</v>
      </c>
      <c r="G14" s="80" t="n">
        <v>20</v>
      </c>
      <c r="H14" s="80" t="n">
        <v>42</v>
      </c>
      <c r="I14" s="80">
        <f>tblStudents[[#This Row],[Internal Marks]]+tblStudents[[#This Row],[External Marks]]</f>
        <v>62</v>
      </c>
      <c r="J14" s="80" t="str">
        <f>IF(AND(tblStudents[[#This Row],[Total Marks]]&gt;=p_PassTotal,tblStudents[[#This Row],[External Marks]]&gt;=p_PassExt),"Pass","Fail")</f>
        <v>Pass</v>
      </c>
      <c r="K14" s="80" t="str">
        <f>IF(tblStudents[[#This Row],[Result]]="Fail","F",INDEX(Lists!$J$4:$J$11,MATCH(tblStudents[[#This Row],[Total Marks]],Lists!$I$4:$I$11,1)))</f>
        <v>B+</v>
      </c>
      <c r="L14" s="81">
        <f>IF(tblStudents[[#This Row],[Result]]="Pass",ROUND(MIN(10,tblStudents[[#This Row],[Total Marks]]/p_SgpaDiv),2),0)</f>
        <v>6.53</v>
      </c>
      <c r="M14" s="82">
        <f>IF(COUNTIFS(tblStudents[[#This Row],[Branch]],cSt_B,tblStudents[[#This Row],[Semester]],cSt_S,tblStudents[[#This Row],[Year]],cSt_Y)=1,tblStudents[[#This Row],[Total Marks]]+ROW()/1000000,"")</f>
        <v>62.000014</v>
      </c>
    </row>
    <row r="15">
      <c r="A15" s="79" t="inlineStr">
        <is>
          <t>STU1011</t>
        </is>
      </c>
      <c r="B15" s="79" t="inlineStr">
        <is>
          <t>Srishti Chauhan</t>
        </is>
      </c>
      <c r="C15" s="80" t="inlineStr">
        <is>
          <t>F</t>
        </is>
      </c>
      <c r="D15" s="80" t="inlineStr">
        <is>
          <t>IT</t>
        </is>
      </c>
      <c r="E15" s="80" t="n">
        <v>8</v>
      </c>
      <c r="F15" s="80" t="n">
        <v>2023</v>
      </c>
      <c r="G15" s="80" t="n">
        <v>18</v>
      </c>
      <c r="H15" s="80" t="n">
        <v>29</v>
      </c>
      <c r="I15" s="80">
        <f>tblStudents[[#This Row],[Internal Marks]]+tblStudents[[#This Row],[External Marks]]</f>
        <v>47</v>
      </c>
      <c r="J15" s="80" t="str">
        <f>IF(AND(tblStudents[[#This Row],[Total Marks]]&gt;=p_PassTotal,tblStudents[[#This Row],[External Marks]]&gt;=p_PassExt),"Pass","Fail")</f>
        <v>Pass</v>
      </c>
      <c r="K15" s="80" t="str">
        <f>IF(tblStudents[[#This Row],[Result]]="Fail","F",INDEX(Lists!$J$4:$J$11,MATCH(tblStudents[[#This Row],[Total Marks]],Lists!$I$4:$I$11,1)))</f>
        <v>C</v>
      </c>
      <c r="L15" s="81">
        <f>IF(tblStudents[[#This Row],[Result]]="Pass",ROUND(MIN(10,tblStudents[[#This Row],[Total Marks]]/p_SgpaDiv),2),0)</f>
        <v>4.95</v>
      </c>
      <c r="M15" s="82">
        <f>IF(COUNTIFS(tblStudents[[#This Row],[Branch]],cSt_B,tblStudents[[#This Row],[Semester]],cSt_S,tblStudents[[#This Row],[Year]],cSt_Y)=1,tblStudents[[#This Row],[Total Marks]]+ROW()/1000000,"")</f>
        <v>47.000015</v>
      </c>
    </row>
    <row r="16">
      <c r="A16" s="79" t="inlineStr">
        <is>
          <t>STU1012</t>
        </is>
      </c>
      <c r="B16" s="79" t="inlineStr">
        <is>
          <t>Sachin Sharma</t>
        </is>
      </c>
      <c r="C16" s="80" t="inlineStr">
        <is>
          <t>M</t>
        </is>
      </c>
      <c r="D16" s="80" t="inlineStr">
        <is>
          <t>CSE</t>
        </is>
      </c>
      <c r="E16" s="80" t="n">
        <v>8</v>
      </c>
      <c r="F16" s="80" t="n">
        <v>2023</v>
      </c>
      <c r="G16" s="80" t="n">
        <v>28</v>
      </c>
      <c r="H16" s="80" t="n">
        <v>45</v>
      </c>
      <c r="I16" s="80">
        <f>tblStudents[[#This Row],[Internal Marks]]+tblStudents[[#This Row],[External Marks]]</f>
        <v>73</v>
      </c>
      <c r="J16" s="80" t="str">
        <f>IF(AND(tblStudents[[#This Row],[Total Marks]]&gt;=p_PassTotal,tblStudents[[#This Row],[External Marks]]&gt;=p_PassExt),"Pass","Fail")</f>
        <v>Pass</v>
      </c>
      <c r="K16" s="80" t="str">
        <f>IF(tblStudents[[#This Row],[Result]]="Fail","F",INDEX(Lists!$J$4:$J$11,MATCH(tblStudents[[#This Row],[Total Marks]],Lists!$I$4:$I$11,1)))</f>
        <v>A</v>
      </c>
      <c r="L16" s="81">
        <f>IF(tblStudents[[#This Row],[Result]]="Pass",ROUND(MIN(10,tblStudents[[#This Row],[Total Marks]]/p_SgpaDiv),2),0)</f>
        <v>7.68</v>
      </c>
      <c r="M16" s="82">
        <f>IF(COUNTIFS(tblStudents[[#This Row],[Branch]],cSt_B,tblStudents[[#This Row],[Semester]],cSt_S,tblStudents[[#This Row],[Year]],cSt_Y)=1,tblStudents[[#This Row],[Total Marks]]+ROW()/1000000,"")</f>
        <v>73.000016</v>
      </c>
    </row>
    <row r="17">
      <c r="A17" s="79" t="inlineStr">
        <is>
          <t>STU1013</t>
        </is>
      </c>
      <c r="B17" s="79" t="inlineStr">
        <is>
          <t>Pankaj Goel</t>
        </is>
      </c>
      <c r="C17" s="80" t="inlineStr">
        <is>
          <t>M</t>
        </is>
      </c>
      <c r="D17" s="80" t="inlineStr">
        <is>
          <t>CE</t>
        </is>
      </c>
      <c r="E17" s="80" t="n">
        <v>6</v>
      </c>
      <c r="F17" s="80" t="n">
        <v>2024</v>
      </c>
      <c r="G17" s="80" t="n">
        <v>31</v>
      </c>
      <c r="H17" s="80" t="n">
        <v>38</v>
      </c>
      <c r="I17" s="80">
        <f>tblStudents[[#This Row],[Internal Marks]]+tblStudents[[#This Row],[External Marks]]</f>
        <v>69</v>
      </c>
      <c r="J17" s="80" t="str">
        <f>IF(AND(tblStudents[[#This Row],[Total Marks]]&gt;=p_PassTotal,tblStudents[[#This Row],[External Marks]]&gt;=p_PassExt),"Pass","Fail")</f>
        <v>Pass</v>
      </c>
      <c r="K17" s="80" t="str">
        <f>IF(tblStudents[[#This Row],[Result]]="Fail","F",INDEX(Lists!$J$4:$J$11,MATCH(tblStudents[[#This Row],[Total Marks]],Lists!$I$4:$I$11,1)))</f>
        <v>B+</v>
      </c>
      <c r="L17" s="81">
        <f>IF(tblStudents[[#This Row],[Result]]="Pass",ROUND(MIN(10,tblStudents[[#This Row],[Total Marks]]/p_SgpaDiv),2),0)</f>
        <v>7.26</v>
      </c>
      <c r="M17" s="82">
        <f>IF(COUNTIFS(tblStudents[[#This Row],[Branch]],cSt_B,tblStudents[[#This Row],[Semester]],cSt_S,tblStudents[[#This Row],[Year]],cSt_Y)=1,tblStudents[[#This Row],[Total Marks]]+ROW()/1000000,"")</f>
        <v>69.000017</v>
      </c>
    </row>
    <row r="18">
      <c r="A18" s="79" t="inlineStr">
        <is>
          <t>STU1014</t>
        </is>
      </c>
      <c r="B18" s="79" t="inlineStr">
        <is>
          <t>Pankaj Rastogi</t>
        </is>
      </c>
      <c r="C18" s="80" t="inlineStr">
        <is>
          <t>M</t>
        </is>
      </c>
      <c r="D18" s="80" t="inlineStr">
        <is>
          <t>ECE</t>
        </is>
      </c>
      <c r="E18" s="80" t="n">
        <v>3</v>
      </c>
      <c r="F18" s="80" t="n">
        <v>2025</v>
      </c>
      <c r="G18" s="80" t="n">
        <v>27</v>
      </c>
      <c r="H18" s="80" t="n">
        <v>37</v>
      </c>
      <c r="I18" s="80">
        <f>tblStudents[[#This Row],[Internal Marks]]+tblStudents[[#This Row],[External Marks]]</f>
        <v>64</v>
      </c>
      <c r="J18" s="80" t="str">
        <f>IF(AND(tblStudents[[#This Row],[Total Marks]]&gt;=p_PassTotal,tblStudents[[#This Row],[External Marks]]&gt;=p_PassExt),"Pass","Fail")</f>
        <v>Pass</v>
      </c>
      <c r="K18" s="80" t="str">
        <f>IF(tblStudents[[#This Row],[Result]]="Fail","F",INDEX(Lists!$J$4:$J$11,MATCH(tblStudents[[#This Row],[Total Marks]],Lists!$I$4:$I$11,1)))</f>
        <v>B+</v>
      </c>
      <c r="L18" s="81">
        <f>IF(tblStudents[[#This Row],[Result]]="Pass",ROUND(MIN(10,tblStudents[[#This Row],[Total Marks]]/p_SgpaDiv),2),0)</f>
        <v>6.74</v>
      </c>
      <c r="M18" s="82">
        <f>IF(COUNTIFS(tblStudents[[#This Row],[Branch]],cSt_B,tblStudents[[#This Row],[Semester]],cSt_S,tblStudents[[#This Row],[Year]],cSt_Y)=1,tblStudents[[#This Row],[Total Marks]]+ROW()/1000000,"")</f>
        <v>64.000018</v>
      </c>
    </row>
    <row r="19">
      <c r="A19" s="79" t="inlineStr">
        <is>
          <t>STU1015</t>
        </is>
      </c>
      <c r="B19" s="79" t="inlineStr">
        <is>
          <t>Naina Reddy</t>
        </is>
      </c>
      <c r="C19" s="80" t="inlineStr">
        <is>
          <t>F</t>
        </is>
      </c>
      <c r="D19" s="80" t="inlineStr">
        <is>
          <t>ECE</t>
        </is>
      </c>
      <c r="E19" s="80" t="n">
        <v>3</v>
      </c>
      <c r="F19" s="80" t="n">
        <v>2024</v>
      </c>
      <c r="G19" s="80" t="n">
        <v>26</v>
      </c>
      <c r="H19" s="80" t="n">
        <v>25</v>
      </c>
      <c r="I19" s="80">
        <f>tblStudents[[#This Row],[Internal Marks]]+tblStudents[[#This Row],[External Marks]]</f>
        <v>51</v>
      </c>
      <c r="J19" s="80" t="str">
        <f>IF(AND(tblStudents[[#This Row],[Total Marks]]&gt;=p_PassTotal,tblStudents[[#This Row],[External Marks]]&gt;=p_PassExt),"Pass","Fail")</f>
        <v>Pass</v>
      </c>
      <c r="K19" s="80" t="str">
        <f>IF(tblStudents[[#This Row],[Result]]="Fail","F",INDEX(Lists!$J$4:$J$11,MATCH(tblStudents[[#This Row],[Total Marks]],Lists!$I$4:$I$11,1)))</f>
        <v>B</v>
      </c>
      <c r="L19" s="81">
        <f>IF(tblStudents[[#This Row],[Result]]="Pass",ROUND(MIN(10,tblStudents[[#This Row],[Total Marks]]/p_SgpaDiv),2),0)</f>
        <v>5.37</v>
      </c>
      <c r="M19" s="82">
        <f>IF(COUNTIFS(tblStudents[[#This Row],[Branch]],cSt_B,tblStudents[[#This Row],[Semester]],cSt_S,tblStudents[[#This Row],[Year]],cSt_Y)=1,tblStudents[[#This Row],[Total Marks]]+ROW()/1000000,"")</f>
        <v>51.000019</v>
      </c>
    </row>
    <row r="20">
      <c r="A20" s="79" t="inlineStr">
        <is>
          <t>STU1016</t>
        </is>
      </c>
      <c r="B20" s="79" t="inlineStr">
        <is>
          <t>Diya Verma</t>
        </is>
      </c>
      <c r="C20" s="80" t="inlineStr">
        <is>
          <t>F</t>
        </is>
      </c>
      <c r="D20" s="80" t="inlineStr">
        <is>
          <t>ME</t>
        </is>
      </c>
      <c r="E20" s="80" t="n">
        <v>6</v>
      </c>
      <c r="F20" s="80" t="n">
        <v>2025</v>
      </c>
      <c r="G20" s="80" t="n">
        <v>21</v>
      </c>
      <c r="H20" s="80" t="n">
        <v>46</v>
      </c>
      <c r="I20" s="80">
        <f>tblStudents[[#This Row],[Internal Marks]]+tblStudents[[#This Row],[External Marks]]</f>
        <v>67</v>
      </c>
      <c r="J20" s="80" t="str">
        <f>IF(AND(tblStudents[[#This Row],[Total Marks]]&gt;=p_PassTotal,tblStudents[[#This Row],[External Marks]]&gt;=p_PassExt),"Pass","Fail")</f>
        <v>Pass</v>
      </c>
      <c r="K20" s="80" t="str">
        <f>IF(tblStudents[[#This Row],[Result]]="Fail","F",INDEX(Lists!$J$4:$J$11,MATCH(tblStudents[[#This Row],[Total Marks]],Lists!$I$4:$I$11,1)))</f>
        <v>B+</v>
      </c>
      <c r="L20" s="81">
        <f>IF(tblStudents[[#This Row],[Result]]="Pass",ROUND(MIN(10,tblStudents[[#This Row],[Total Marks]]/p_SgpaDiv),2),0)</f>
        <v>7.05</v>
      </c>
      <c r="M20" s="82">
        <f>IF(COUNTIFS(tblStudents[[#This Row],[Branch]],cSt_B,tblStudents[[#This Row],[Semester]],cSt_S,tblStudents[[#This Row],[Year]],cSt_Y)=1,tblStudents[[#This Row],[Total Marks]]+ROW()/1000000,"")</f>
        <v>67.00002</v>
      </c>
    </row>
    <row r="21">
      <c r="A21" s="79" t="inlineStr">
        <is>
          <t>STU1017</t>
        </is>
      </c>
      <c r="B21" s="79" t="inlineStr">
        <is>
          <t>Aditi Agarwal</t>
        </is>
      </c>
      <c r="C21" s="80" t="inlineStr">
        <is>
          <t>F</t>
        </is>
      </c>
      <c r="D21" s="80" t="inlineStr">
        <is>
          <t>ME</t>
        </is>
      </c>
      <c r="E21" s="80" t="n">
        <v>4</v>
      </c>
      <c r="F21" s="80" t="n">
        <v>2026</v>
      </c>
      <c r="G21" s="80" t="n">
        <v>21</v>
      </c>
      <c r="H21" s="80" t="n">
        <v>34</v>
      </c>
      <c r="I21" s="80">
        <f>tblStudents[[#This Row],[Internal Marks]]+tblStudents[[#This Row],[External Marks]]</f>
        <v>55</v>
      </c>
      <c r="J21" s="80" t="str">
        <f>IF(AND(tblStudents[[#This Row],[Total Marks]]&gt;=p_PassTotal,tblStudents[[#This Row],[External Marks]]&gt;=p_PassExt),"Pass","Fail")</f>
        <v>Pass</v>
      </c>
      <c r="K21" s="80" t="str">
        <f>IF(tblStudents[[#This Row],[Result]]="Fail","F",INDEX(Lists!$J$4:$J$11,MATCH(tblStudents[[#This Row],[Total Marks]],Lists!$I$4:$I$11,1)))</f>
        <v>B</v>
      </c>
      <c r="L21" s="81">
        <f>IF(tblStudents[[#This Row],[Result]]="Pass",ROUND(MIN(10,tblStudents[[#This Row],[Total Marks]]/p_SgpaDiv),2),0)</f>
        <v>5.79</v>
      </c>
      <c r="M21" s="82">
        <f>IF(COUNTIFS(tblStudents[[#This Row],[Branch]],cSt_B,tblStudents[[#This Row],[Semester]],cSt_S,tblStudents[[#This Row],[Year]],cSt_Y)=1,tblStudents[[#This Row],[Total Marks]]+ROW()/1000000,"")</f>
        <v>55.000021</v>
      </c>
    </row>
    <row r="22">
      <c r="A22" s="79" t="inlineStr">
        <is>
          <t>STU1018</t>
        </is>
      </c>
      <c r="B22" s="79" t="inlineStr">
        <is>
          <t>Nikhil Chauhan</t>
        </is>
      </c>
      <c r="C22" s="80" t="inlineStr">
        <is>
          <t>M</t>
        </is>
      </c>
      <c r="D22" s="80" t="inlineStr">
        <is>
          <t>CSE</t>
        </is>
      </c>
      <c r="E22" s="80" t="n">
        <v>1</v>
      </c>
      <c r="F22" s="80" t="n">
        <v>2026</v>
      </c>
      <c r="G22" s="80" t="n">
        <v>37</v>
      </c>
      <c r="H22" s="80" t="n">
        <v>50</v>
      </c>
      <c r="I22" s="80">
        <f>tblStudents[[#This Row],[Internal Marks]]+tblStudents[[#This Row],[External Marks]]</f>
        <v>87</v>
      </c>
      <c r="J22" s="80" t="str">
        <f>IF(AND(tblStudents[[#This Row],[Total Marks]]&gt;=p_PassTotal,tblStudents[[#This Row],[External Marks]]&gt;=p_PassExt),"Pass","Fail")</f>
        <v>Pass</v>
      </c>
      <c r="K22" s="80" t="str">
        <f>IF(tblStudents[[#This Row],[Result]]="Fail","F",INDEX(Lists!$J$4:$J$11,MATCH(tblStudents[[#This Row],[Total Marks]],Lists!$I$4:$I$11,1)))</f>
        <v>A+</v>
      </c>
      <c r="L22" s="81">
        <f>IF(tblStudents[[#This Row],[Result]]="Pass",ROUND(MIN(10,tblStudents[[#This Row],[Total Marks]]/p_SgpaDiv),2),0)</f>
        <v>9.16</v>
      </c>
      <c r="M22" s="82">
        <f>IF(COUNTIFS(tblStudents[[#This Row],[Branch]],cSt_B,tblStudents[[#This Row],[Semester]],cSt_S,tblStudents[[#This Row],[Year]],cSt_Y)=1,tblStudents[[#This Row],[Total Marks]]+ROW()/1000000,"")</f>
        <v>87.000022</v>
      </c>
    </row>
    <row r="23">
      <c r="A23" s="79" t="inlineStr">
        <is>
          <t>STU1019</t>
        </is>
      </c>
      <c r="B23" s="79" t="inlineStr">
        <is>
          <t>Siddharth Khan</t>
        </is>
      </c>
      <c r="C23" s="80" t="inlineStr">
        <is>
          <t>M</t>
        </is>
      </c>
      <c r="D23" s="80" t="inlineStr">
        <is>
          <t>CSE</t>
        </is>
      </c>
      <c r="E23" s="80" t="n">
        <v>3</v>
      </c>
      <c r="F23" s="80" t="n">
        <v>2024</v>
      </c>
      <c r="G23" s="80" t="n">
        <v>25</v>
      </c>
      <c r="H23" s="80" t="n">
        <v>40</v>
      </c>
      <c r="I23" s="80">
        <f>tblStudents[[#This Row],[Internal Marks]]+tblStudents[[#This Row],[External Marks]]</f>
        <v>65</v>
      </c>
      <c r="J23" s="80" t="str">
        <f>IF(AND(tblStudents[[#This Row],[Total Marks]]&gt;=p_PassTotal,tblStudents[[#This Row],[External Marks]]&gt;=p_PassExt),"Pass","Fail")</f>
        <v>Pass</v>
      </c>
      <c r="K23" s="80" t="str">
        <f>IF(tblStudents[[#This Row],[Result]]="Fail","F",INDEX(Lists!$J$4:$J$11,MATCH(tblStudents[[#This Row],[Total Marks]],Lists!$I$4:$I$11,1)))</f>
        <v>B+</v>
      </c>
      <c r="L23" s="81">
        <f>IF(tblStudents[[#This Row],[Result]]="Pass",ROUND(MIN(10,tblStudents[[#This Row],[Total Marks]]/p_SgpaDiv),2),0)</f>
        <v>6.84</v>
      </c>
      <c r="M23" s="82">
        <f>IF(COUNTIFS(tblStudents[[#This Row],[Branch]],cSt_B,tblStudents[[#This Row],[Semester]],cSt_S,tblStudents[[#This Row],[Year]],cSt_Y)=1,tblStudents[[#This Row],[Total Marks]]+ROW()/1000000,"")</f>
        <v>65.000023</v>
      </c>
    </row>
    <row r="24">
      <c r="A24" s="79" t="inlineStr">
        <is>
          <t>STU1020</t>
        </is>
      </c>
      <c r="B24" s="79" t="inlineStr">
        <is>
          <t>Shruti Chauhan</t>
        </is>
      </c>
      <c r="C24" s="80" t="inlineStr">
        <is>
          <t>F</t>
        </is>
      </c>
      <c r="D24" s="80" t="inlineStr">
        <is>
          <t>ECE</t>
        </is>
      </c>
      <c r="E24" s="80" t="n">
        <v>5</v>
      </c>
      <c r="F24" s="80" t="n">
        <v>2026</v>
      </c>
      <c r="G24" s="80" t="n">
        <v>26</v>
      </c>
      <c r="H24" s="80" t="n">
        <v>51</v>
      </c>
      <c r="I24" s="80">
        <f>tblStudents[[#This Row],[Internal Marks]]+tblStudents[[#This Row],[External Marks]]</f>
        <v>77</v>
      </c>
      <c r="J24" s="80" t="str">
        <f>IF(AND(tblStudents[[#This Row],[Total Marks]]&gt;=p_PassTotal,tblStudents[[#This Row],[External Marks]]&gt;=p_PassExt),"Pass","Fail")</f>
        <v>Pass</v>
      </c>
      <c r="K24" s="80" t="str">
        <f>IF(tblStudents[[#This Row],[Result]]="Fail","F",INDEX(Lists!$J$4:$J$11,MATCH(tblStudents[[#This Row],[Total Marks]],Lists!$I$4:$I$11,1)))</f>
        <v>A</v>
      </c>
      <c r="L24" s="81">
        <f>IF(tblStudents[[#This Row],[Result]]="Pass",ROUND(MIN(10,tblStudents[[#This Row],[Total Marks]]/p_SgpaDiv),2),0)</f>
        <v>8.11</v>
      </c>
      <c r="M24" s="82">
        <f>IF(COUNTIFS(tblStudents[[#This Row],[Branch]],cSt_B,tblStudents[[#This Row],[Semester]],cSt_S,tblStudents[[#This Row],[Year]],cSt_Y)=1,tblStudents[[#This Row],[Total Marks]]+ROW()/1000000,"")</f>
        <v>77.000024</v>
      </c>
    </row>
    <row r="25">
      <c r="A25" s="79" t="inlineStr">
        <is>
          <t>STU1021</t>
        </is>
      </c>
      <c r="B25" s="79" t="inlineStr">
        <is>
          <t>Anjali Kapoor</t>
        </is>
      </c>
      <c r="C25" s="80" t="inlineStr">
        <is>
          <t>F</t>
        </is>
      </c>
      <c r="D25" s="80" t="inlineStr">
        <is>
          <t>ME</t>
        </is>
      </c>
      <c r="E25" s="80" t="n">
        <v>8</v>
      </c>
      <c r="F25" s="80" t="n">
        <v>2023</v>
      </c>
      <c r="G25" s="80" t="n">
        <v>22</v>
      </c>
      <c r="H25" s="80" t="n">
        <v>30</v>
      </c>
      <c r="I25" s="80">
        <f>tblStudents[[#This Row],[Internal Marks]]+tblStudents[[#This Row],[External Marks]]</f>
        <v>52</v>
      </c>
      <c r="J25" s="80" t="str">
        <f>IF(AND(tblStudents[[#This Row],[Total Marks]]&gt;=p_PassTotal,tblStudents[[#This Row],[External Marks]]&gt;=p_PassExt),"Pass","Fail")</f>
        <v>Pass</v>
      </c>
      <c r="K25" s="80" t="str">
        <f>IF(tblStudents[[#This Row],[Result]]="Fail","F",INDEX(Lists!$J$4:$J$11,MATCH(tblStudents[[#This Row],[Total Marks]],Lists!$I$4:$I$11,1)))</f>
        <v>B</v>
      </c>
      <c r="L25" s="81">
        <f>IF(tblStudents[[#This Row],[Result]]="Pass",ROUND(MIN(10,tblStudents[[#This Row],[Total Marks]]/p_SgpaDiv),2),0)</f>
        <v>5.47</v>
      </c>
      <c r="M25" s="82">
        <f>IF(COUNTIFS(tblStudents[[#This Row],[Branch]],cSt_B,tblStudents[[#This Row],[Semester]],cSt_S,tblStudents[[#This Row],[Year]],cSt_Y)=1,tblStudents[[#This Row],[Total Marks]]+ROW()/1000000,"")</f>
        <v>52.000025</v>
      </c>
    </row>
    <row r="26">
      <c r="A26" s="79" t="inlineStr">
        <is>
          <t>STU1022</t>
        </is>
      </c>
      <c r="B26" s="79" t="inlineStr">
        <is>
          <t>Karan Shah</t>
        </is>
      </c>
      <c r="C26" s="80" t="inlineStr">
        <is>
          <t>M</t>
        </is>
      </c>
      <c r="D26" s="80" t="inlineStr">
        <is>
          <t>ME</t>
        </is>
      </c>
      <c r="E26" s="80" t="n">
        <v>7</v>
      </c>
      <c r="F26" s="80" t="n">
        <v>2024</v>
      </c>
      <c r="G26" s="80" t="n">
        <v>31</v>
      </c>
      <c r="H26" s="80" t="n">
        <v>42</v>
      </c>
      <c r="I26" s="80">
        <f>tblStudents[[#This Row],[Internal Marks]]+tblStudents[[#This Row],[External Marks]]</f>
        <v>73</v>
      </c>
      <c r="J26" s="80" t="str">
        <f>IF(AND(tblStudents[[#This Row],[Total Marks]]&gt;=p_PassTotal,tblStudents[[#This Row],[External Marks]]&gt;=p_PassExt),"Pass","Fail")</f>
        <v>Pass</v>
      </c>
      <c r="K26" s="80" t="str">
        <f>IF(tblStudents[[#This Row],[Result]]="Fail","F",INDEX(Lists!$J$4:$J$11,MATCH(tblStudents[[#This Row],[Total Marks]],Lists!$I$4:$I$11,1)))</f>
        <v>A</v>
      </c>
      <c r="L26" s="81">
        <f>IF(tblStudents[[#This Row],[Result]]="Pass",ROUND(MIN(10,tblStudents[[#This Row],[Total Marks]]/p_SgpaDiv),2),0)</f>
        <v>7.68</v>
      </c>
      <c r="M26" s="82">
        <f>IF(COUNTIFS(tblStudents[[#This Row],[Branch]],cSt_B,tblStudents[[#This Row],[Semester]],cSt_S,tblStudents[[#This Row],[Year]],cSt_Y)=1,tblStudents[[#This Row],[Total Marks]]+ROW()/1000000,"")</f>
        <v>73.000026</v>
      </c>
    </row>
    <row r="27">
      <c r="A27" s="79" t="inlineStr">
        <is>
          <t>STU1023</t>
        </is>
      </c>
      <c r="B27" s="79" t="inlineStr">
        <is>
          <t>Amit Garg</t>
        </is>
      </c>
      <c r="C27" s="80" t="inlineStr">
        <is>
          <t>M</t>
        </is>
      </c>
      <c r="D27" s="80" t="inlineStr">
        <is>
          <t>CE</t>
        </is>
      </c>
      <c r="E27" s="80" t="n">
        <v>4</v>
      </c>
      <c r="F27" s="80" t="n">
        <v>2025</v>
      </c>
      <c r="G27" s="80" t="n">
        <v>19</v>
      </c>
      <c r="H27" s="80" t="n">
        <v>35</v>
      </c>
      <c r="I27" s="80">
        <f>tblStudents[[#This Row],[Internal Marks]]+tblStudents[[#This Row],[External Marks]]</f>
        <v>54</v>
      </c>
      <c r="J27" s="80" t="str">
        <f>IF(AND(tblStudents[[#This Row],[Total Marks]]&gt;=p_PassTotal,tblStudents[[#This Row],[External Marks]]&gt;=p_PassExt),"Pass","Fail")</f>
        <v>Pass</v>
      </c>
      <c r="K27" s="80" t="str">
        <f>IF(tblStudents[[#This Row],[Result]]="Fail","F",INDEX(Lists!$J$4:$J$11,MATCH(tblStudents[[#This Row],[Total Marks]],Lists!$I$4:$I$11,1)))</f>
        <v>B</v>
      </c>
      <c r="L27" s="81">
        <f>IF(tblStudents[[#This Row],[Result]]="Pass",ROUND(MIN(10,tblStudents[[#This Row],[Total Marks]]/p_SgpaDiv),2),0)</f>
        <v>5.68</v>
      </c>
      <c r="M27" s="82">
        <f>IF(COUNTIFS(tblStudents[[#This Row],[Branch]],cSt_B,tblStudents[[#This Row],[Semester]],cSt_S,tblStudents[[#This Row],[Year]],cSt_Y)=1,tblStudents[[#This Row],[Total Marks]]+ROW()/1000000,"")</f>
        <v>54.000027</v>
      </c>
    </row>
    <row r="28">
      <c r="A28" s="79" t="inlineStr">
        <is>
          <t>STU1024</t>
        </is>
      </c>
      <c r="B28" s="79" t="inlineStr">
        <is>
          <t>Aditi Mishra</t>
        </is>
      </c>
      <c r="C28" s="80" t="inlineStr">
        <is>
          <t>F</t>
        </is>
      </c>
      <c r="D28" s="80" t="inlineStr">
        <is>
          <t>CE</t>
        </is>
      </c>
      <c r="E28" s="80" t="n">
        <v>6</v>
      </c>
      <c r="F28" s="80" t="n">
        <v>2024</v>
      </c>
      <c r="G28" s="80" t="n">
        <v>30</v>
      </c>
      <c r="H28" s="80" t="n">
        <v>47</v>
      </c>
      <c r="I28" s="80">
        <f>tblStudents[[#This Row],[Internal Marks]]+tblStudents[[#This Row],[External Marks]]</f>
        <v>77</v>
      </c>
      <c r="J28" s="80" t="str">
        <f>IF(AND(tblStudents[[#This Row],[Total Marks]]&gt;=p_PassTotal,tblStudents[[#This Row],[External Marks]]&gt;=p_PassExt),"Pass","Fail")</f>
        <v>Pass</v>
      </c>
      <c r="K28" s="80" t="str">
        <f>IF(tblStudents[[#This Row],[Result]]="Fail","F",INDEX(Lists!$J$4:$J$11,MATCH(tblStudents[[#This Row],[Total Marks]],Lists!$I$4:$I$11,1)))</f>
        <v>A</v>
      </c>
      <c r="L28" s="81">
        <f>IF(tblStudents[[#This Row],[Result]]="Pass",ROUND(MIN(10,tblStudents[[#This Row],[Total Marks]]/p_SgpaDiv),2),0)</f>
        <v>8.11</v>
      </c>
      <c r="M28" s="82">
        <f>IF(COUNTIFS(tblStudents[[#This Row],[Branch]],cSt_B,tblStudents[[#This Row],[Semester]],cSt_S,tblStudents[[#This Row],[Year]],cSt_Y)=1,tblStudents[[#This Row],[Total Marks]]+ROW()/1000000,"")</f>
        <v>77.000028</v>
      </c>
    </row>
    <row r="29">
      <c r="A29" s="79" t="inlineStr">
        <is>
          <t>STU1025</t>
        </is>
      </c>
      <c r="B29" s="79" t="inlineStr">
        <is>
          <t>Ankit Kapoor</t>
        </is>
      </c>
      <c r="C29" s="80" t="inlineStr">
        <is>
          <t>M</t>
        </is>
      </c>
      <c r="D29" s="80" t="inlineStr">
        <is>
          <t>CSE</t>
        </is>
      </c>
      <c r="E29" s="80" t="n">
        <v>5</v>
      </c>
      <c r="F29" s="80" t="n">
        <v>2023</v>
      </c>
      <c r="G29" s="80" t="n">
        <v>36</v>
      </c>
      <c r="H29" s="80" t="n">
        <v>60</v>
      </c>
      <c r="I29" s="80">
        <f>tblStudents[[#This Row],[Internal Marks]]+tblStudents[[#This Row],[External Marks]]</f>
        <v>96</v>
      </c>
      <c r="J29" s="80" t="str">
        <f>IF(AND(tblStudents[[#This Row],[Total Marks]]&gt;=p_PassTotal,tblStudents[[#This Row],[External Marks]]&gt;=p_PassExt),"Pass","Fail")</f>
        <v>Pass</v>
      </c>
      <c r="K29" s="80" t="str">
        <f>IF(tblStudents[[#This Row],[Result]]="Fail","F",INDEX(Lists!$J$4:$J$11,MATCH(tblStudents[[#This Row],[Total Marks]],Lists!$I$4:$I$11,1)))</f>
        <v>O</v>
      </c>
      <c r="L29" s="81">
        <f>IF(tblStudents[[#This Row],[Result]]="Pass",ROUND(MIN(10,tblStudents[[#This Row],[Total Marks]]/p_SgpaDiv),2),0)</f>
        <v>10</v>
      </c>
      <c r="M29" s="82">
        <f>IF(COUNTIFS(tblStudents[[#This Row],[Branch]],cSt_B,tblStudents[[#This Row],[Semester]],cSt_S,tblStudents[[#This Row],[Year]],cSt_Y)=1,tblStudents[[#This Row],[Total Marks]]+ROW()/1000000,"")</f>
        <v>96.000029</v>
      </c>
    </row>
    <row r="30">
      <c r="A30" s="79" t="inlineStr">
        <is>
          <t>STU1026</t>
        </is>
      </c>
      <c r="B30" s="79" t="inlineStr">
        <is>
          <t>Rahul Tyagi</t>
        </is>
      </c>
      <c r="C30" s="80" t="inlineStr">
        <is>
          <t>M</t>
        </is>
      </c>
      <c r="D30" s="80" t="inlineStr">
        <is>
          <t>CSE</t>
        </is>
      </c>
      <c r="E30" s="80" t="n">
        <v>2</v>
      </c>
      <c r="F30" s="80" t="n">
        <v>2023</v>
      </c>
      <c r="G30" s="80" t="n">
        <v>25</v>
      </c>
      <c r="H30" s="80" t="n">
        <v>33</v>
      </c>
      <c r="I30" s="80">
        <f>tblStudents[[#This Row],[Internal Marks]]+tblStudents[[#This Row],[External Marks]]</f>
        <v>58</v>
      </c>
      <c r="J30" s="80" t="str">
        <f>IF(AND(tblStudents[[#This Row],[Total Marks]]&gt;=p_PassTotal,tblStudents[[#This Row],[External Marks]]&gt;=p_PassExt),"Pass","Fail")</f>
        <v>Pass</v>
      </c>
      <c r="K30" s="80" t="str">
        <f>IF(tblStudents[[#This Row],[Result]]="Fail","F",INDEX(Lists!$J$4:$J$11,MATCH(tblStudents[[#This Row],[Total Marks]],Lists!$I$4:$I$11,1)))</f>
        <v>B</v>
      </c>
      <c r="L30" s="81">
        <f>IF(tblStudents[[#This Row],[Result]]="Pass",ROUND(MIN(10,tblStudents[[#This Row],[Total Marks]]/p_SgpaDiv),2),0)</f>
        <v>6.11</v>
      </c>
      <c r="M30" s="82">
        <f>IF(COUNTIFS(tblStudents[[#This Row],[Branch]],cSt_B,tblStudents[[#This Row],[Semester]],cSt_S,tblStudents[[#This Row],[Year]],cSt_Y)=1,tblStudents[[#This Row],[Total Marks]]+ROW()/1000000,"")</f>
        <v>58.00003</v>
      </c>
    </row>
    <row r="31">
      <c r="A31" s="79" t="inlineStr">
        <is>
          <t>STU1027</t>
        </is>
      </c>
      <c r="B31" s="79" t="inlineStr">
        <is>
          <t>Pallavi Shah</t>
        </is>
      </c>
      <c r="C31" s="80" t="inlineStr">
        <is>
          <t>F</t>
        </is>
      </c>
      <c r="D31" s="80" t="inlineStr">
        <is>
          <t>ME</t>
        </is>
      </c>
      <c r="E31" s="80" t="n">
        <v>1</v>
      </c>
      <c r="F31" s="80" t="n">
        <v>2026</v>
      </c>
      <c r="G31" s="80" t="n">
        <v>27</v>
      </c>
      <c r="H31" s="80" t="n">
        <v>21</v>
      </c>
      <c r="I31" s="80">
        <f>tblStudents[[#This Row],[Internal Marks]]+tblStudents[[#This Row],[External Marks]]</f>
        <v>48</v>
      </c>
      <c r="J31" s="80" t="str">
        <f>IF(AND(tblStudents[[#This Row],[Total Marks]]&gt;=p_PassTotal,tblStudents[[#This Row],[External Marks]]&gt;=p_PassExt),"Pass","Fail")</f>
        <v>Fail</v>
      </c>
      <c r="K31" s="80" t="str">
        <f>IF(tblStudents[[#This Row],[Result]]="Fail","F",INDEX(Lists!$J$4:$J$11,MATCH(tblStudents[[#This Row],[Total Marks]],Lists!$I$4:$I$11,1)))</f>
        <v>F</v>
      </c>
      <c r="L31" s="81">
        <f>IF(tblStudents[[#This Row],[Result]]="Pass",ROUND(MIN(10,tblStudents[[#This Row],[Total Marks]]/p_SgpaDiv),2),0)</f>
        <v>0</v>
      </c>
      <c r="M31" s="82">
        <f>IF(COUNTIFS(tblStudents[[#This Row],[Branch]],cSt_B,tblStudents[[#This Row],[Semester]],cSt_S,tblStudents[[#This Row],[Year]],cSt_Y)=1,tblStudents[[#This Row],[Total Marks]]+ROW()/1000000,"")</f>
        <v>48.000031</v>
      </c>
    </row>
    <row r="32">
      <c r="A32" s="79" t="inlineStr">
        <is>
          <t>STU1028</t>
        </is>
      </c>
      <c r="B32" s="79" t="inlineStr">
        <is>
          <t>Naina Bansal</t>
        </is>
      </c>
      <c r="C32" s="80" t="inlineStr">
        <is>
          <t>F</t>
        </is>
      </c>
      <c r="D32" s="80" t="inlineStr">
        <is>
          <t>ECE</t>
        </is>
      </c>
      <c r="E32" s="80" t="n">
        <v>6</v>
      </c>
      <c r="F32" s="80" t="n">
        <v>2023</v>
      </c>
      <c r="G32" s="80" t="n">
        <v>29</v>
      </c>
      <c r="H32" s="80" t="n">
        <v>23</v>
      </c>
      <c r="I32" s="80">
        <f>tblStudents[[#This Row],[Internal Marks]]+tblStudents[[#This Row],[External Marks]]</f>
        <v>52</v>
      </c>
      <c r="J32" s="80" t="str">
        <f>IF(AND(tblStudents[[#This Row],[Total Marks]]&gt;=p_PassTotal,tblStudents[[#This Row],[External Marks]]&gt;=p_PassExt),"Pass","Fail")</f>
        <v>Fail</v>
      </c>
      <c r="K32" s="80" t="str">
        <f>IF(tblStudents[[#This Row],[Result]]="Fail","F",INDEX(Lists!$J$4:$J$11,MATCH(tblStudents[[#This Row],[Total Marks]],Lists!$I$4:$I$11,1)))</f>
        <v>F</v>
      </c>
      <c r="L32" s="81">
        <f>IF(tblStudents[[#This Row],[Result]]="Pass",ROUND(MIN(10,tblStudents[[#This Row],[Total Marks]]/p_SgpaDiv),2),0)</f>
        <v>0</v>
      </c>
      <c r="M32" s="82">
        <f>IF(COUNTIFS(tblStudents[[#This Row],[Branch]],cSt_B,tblStudents[[#This Row],[Semester]],cSt_S,tblStudents[[#This Row],[Year]],cSt_Y)=1,tblStudents[[#This Row],[Total Marks]]+ROW()/1000000,"")</f>
        <v>52.000032</v>
      </c>
    </row>
    <row r="33">
      <c r="A33" s="79" t="inlineStr">
        <is>
          <t>STU1029</t>
        </is>
      </c>
      <c r="B33" s="79" t="inlineStr">
        <is>
          <t>Komal Tiwari</t>
        </is>
      </c>
      <c r="C33" s="80" t="inlineStr">
        <is>
          <t>F</t>
        </is>
      </c>
      <c r="D33" s="80" t="inlineStr">
        <is>
          <t>ECE</t>
        </is>
      </c>
      <c r="E33" s="80" t="n">
        <v>7</v>
      </c>
      <c r="F33" s="80" t="n">
        <v>2025</v>
      </c>
      <c r="G33" s="80" t="n">
        <v>26</v>
      </c>
      <c r="H33" s="80" t="n">
        <v>43</v>
      </c>
      <c r="I33" s="80">
        <f>tblStudents[[#This Row],[Internal Marks]]+tblStudents[[#This Row],[External Marks]]</f>
        <v>69</v>
      </c>
      <c r="J33" s="80" t="str">
        <f>IF(AND(tblStudents[[#This Row],[Total Marks]]&gt;=p_PassTotal,tblStudents[[#This Row],[External Marks]]&gt;=p_PassExt),"Pass","Fail")</f>
        <v>Pass</v>
      </c>
      <c r="K33" s="80" t="str">
        <f>IF(tblStudents[[#This Row],[Result]]="Fail","F",INDEX(Lists!$J$4:$J$11,MATCH(tblStudents[[#This Row],[Total Marks]],Lists!$I$4:$I$11,1)))</f>
        <v>B+</v>
      </c>
      <c r="L33" s="81">
        <f>IF(tblStudents[[#This Row],[Result]]="Pass",ROUND(MIN(10,tblStudents[[#This Row],[Total Marks]]/p_SgpaDiv),2),0)</f>
        <v>7.26</v>
      </c>
      <c r="M33" s="82">
        <f>IF(COUNTIFS(tblStudents[[#This Row],[Branch]],cSt_B,tblStudents[[#This Row],[Semester]],cSt_S,tblStudents[[#This Row],[Year]],cSt_Y)=1,tblStudents[[#This Row],[Total Marks]]+ROW()/1000000,"")</f>
        <v>69.000033</v>
      </c>
    </row>
    <row r="34">
      <c r="A34" s="79" t="inlineStr">
        <is>
          <t>STU1030</t>
        </is>
      </c>
      <c r="B34" s="79" t="inlineStr">
        <is>
          <t>Vikram Garg</t>
        </is>
      </c>
      <c r="C34" s="80" t="inlineStr">
        <is>
          <t>M</t>
        </is>
      </c>
      <c r="D34" s="80" t="inlineStr">
        <is>
          <t>CSE</t>
        </is>
      </c>
      <c r="E34" s="80" t="n">
        <v>1</v>
      </c>
      <c r="F34" s="80" t="n">
        <v>2024</v>
      </c>
      <c r="G34" s="80" t="n">
        <v>24</v>
      </c>
      <c r="H34" s="80" t="n">
        <v>41</v>
      </c>
      <c r="I34" s="80">
        <f>tblStudents[[#This Row],[Internal Marks]]+tblStudents[[#This Row],[External Marks]]</f>
        <v>65</v>
      </c>
      <c r="J34" s="80" t="str">
        <f>IF(AND(tblStudents[[#This Row],[Total Marks]]&gt;=p_PassTotal,tblStudents[[#This Row],[External Marks]]&gt;=p_PassExt),"Pass","Fail")</f>
        <v>Pass</v>
      </c>
      <c r="K34" s="80" t="str">
        <f>IF(tblStudents[[#This Row],[Result]]="Fail","F",INDEX(Lists!$J$4:$J$11,MATCH(tblStudents[[#This Row],[Total Marks]],Lists!$I$4:$I$11,1)))</f>
        <v>B+</v>
      </c>
      <c r="L34" s="81">
        <f>IF(tblStudents[[#This Row],[Result]]="Pass",ROUND(MIN(10,tblStudents[[#This Row],[Total Marks]]/p_SgpaDiv),2),0)</f>
        <v>6.84</v>
      </c>
      <c r="M34" s="82">
        <f>IF(COUNTIFS(tblStudents[[#This Row],[Branch]],cSt_B,tblStudents[[#This Row],[Semester]],cSt_S,tblStudents[[#This Row],[Year]],cSt_Y)=1,tblStudents[[#This Row],[Total Marks]]+ROW()/1000000,"")</f>
        <v>65.000034</v>
      </c>
    </row>
    <row r="35">
      <c r="A35" s="79" t="inlineStr">
        <is>
          <t>STU1031</t>
        </is>
      </c>
      <c r="B35" s="79" t="inlineStr">
        <is>
          <t>Diya Patel</t>
        </is>
      </c>
      <c r="C35" s="80" t="inlineStr">
        <is>
          <t>F</t>
        </is>
      </c>
      <c r="D35" s="80" t="inlineStr">
        <is>
          <t>ME</t>
        </is>
      </c>
      <c r="E35" s="80" t="n">
        <v>6</v>
      </c>
      <c r="F35" s="80" t="n">
        <v>2026</v>
      </c>
      <c r="G35" s="80" t="n">
        <v>26</v>
      </c>
      <c r="H35" s="80" t="n">
        <v>31</v>
      </c>
      <c r="I35" s="80">
        <f>tblStudents[[#This Row],[Internal Marks]]+tblStudents[[#This Row],[External Marks]]</f>
        <v>57</v>
      </c>
      <c r="J35" s="80" t="str">
        <f>IF(AND(tblStudents[[#This Row],[Total Marks]]&gt;=p_PassTotal,tblStudents[[#This Row],[External Marks]]&gt;=p_PassExt),"Pass","Fail")</f>
        <v>Pass</v>
      </c>
      <c r="K35" s="80" t="str">
        <f>IF(tblStudents[[#This Row],[Result]]="Fail","F",INDEX(Lists!$J$4:$J$11,MATCH(tblStudents[[#This Row],[Total Marks]],Lists!$I$4:$I$11,1)))</f>
        <v>B</v>
      </c>
      <c r="L35" s="81">
        <f>IF(tblStudents[[#This Row],[Result]]="Pass",ROUND(MIN(10,tblStudents[[#This Row],[Total Marks]]/p_SgpaDiv),2),0)</f>
        <v>6</v>
      </c>
      <c r="M35" s="82">
        <f>IF(COUNTIFS(tblStudents[[#This Row],[Branch]],cSt_B,tblStudents[[#This Row],[Semester]],cSt_S,tblStudents[[#This Row],[Year]],cSt_Y)=1,tblStudents[[#This Row],[Total Marks]]+ROW()/1000000,"")</f>
        <v>57.000035</v>
      </c>
    </row>
    <row r="36">
      <c r="A36" s="79" t="inlineStr">
        <is>
          <t>STU1032</t>
        </is>
      </c>
      <c r="B36" s="79" t="inlineStr">
        <is>
          <t>Pankaj Siddiqui</t>
        </is>
      </c>
      <c r="C36" s="80" t="inlineStr">
        <is>
          <t>M</t>
        </is>
      </c>
      <c r="D36" s="80" t="inlineStr">
        <is>
          <t>ECE</t>
        </is>
      </c>
      <c r="E36" s="80" t="n">
        <v>5</v>
      </c>
      <c r="F36" s="80" t="n">
        <v>2024</v>
      </c>
      <c r="G36" s="80" t="n">
        <v>28</v>
      </c>
      <c r="H36" s="80" t="n">
        <v>45</v>
      </c>
      <c r="I36" s="80">
        <f>tblStudents[[#This Row],[Internal Marks]]+tblStudents[[#This Row],[External Marks]]</f>
        <v>73</v>
      </c>
      <c r="J36" s="80" t="str">
        <f>IF(AND(tblStudents[[#This Row],[Total Marks]]&gt;=p_PassTotal,tblStudents[[#This Row],[External Marks]]&gt;=p_PassExt),"Pass","Fail")</f>
        <v>Pass</v>
      </c>
      <c r="K36" s="80" t="str">
        <f>IF(tblStudents[[#This Row],[Result]]="Fail","F",INDEX(Lists!$J$4:$J$11,MATCH(tblStudents[[#This Row],[Total Marks]],Lists!$I$4:$I$11,1)))</f>
        <v>A</v>
      </c>
      <c r="L36" s="81">
        <f>IF(tblStudents[[#This Row],[Result]]="Pass",ROUND(MIN(10,tblStudents[[#This Row],[Total Marks]]/p_SgpaDiv),2),0)</f>
        <v>7.68</v>
      </c>
      <c r="M36" s="82">
        <f>IF(COUNTIFS(tblStudents[[#This Row],[Branch]],cSt_B,tblStudents[[#This Row],[Semester]],cSt_S,tblStudents[[#This Row],[Year]],cSt_Y)=1,tblStudents[[#This Row],[Total Marks]]+ROW()/1000000,"")</f>
        <v>73.000036</v>
      </c>
    </row>
    <row r="37">
      <c r="A37" s="79" t="inlineStr">
        <is>
          <t>STU1033</t>
        </is>
      </c>
      <c r="B37" s="79" t="inlineStr">
        <is>
          <t>Tanvi Kapoor</t>
        </is>
      </c>
      <c r="C37" s="80" t="inlineStr">
        <is>
          <t>F</t>
        </is>
      </c>
      <c r="D37" s="80" t="inlineStr">
        <is>
          <t>CSE</t>
        </is>
      </c>
      <c r="E37" s="80" t="n">
        <v>2</v>
      </c>
      <c r="F37" s="80" t="n">
        <v>2024</v>
      </c>
      <c r="G37" s="80" t="n">
        <v>22</v>
      </c>
      <c r="H37" s="80" t="n">
        <v>40</v>
      </c>
      <c r="I37" s="80">
        <f>tblStudents[[#This Row],[Internal Marks]]+tblStudents[[#This Row],[External Marks]]</f>
        <v>62</v>
      </c>
      <c r="J37" s="80" t="str">
        <f>IF(AND(tblStudents[[#This Row],[Total Marks]]&gt;=p_PassTotal,tblStudents[[#This Row],[External Marks]]&gt;=p_PassExt),"Pass","Fail")</f>
        <v>Pass</v>
      </c>
      <c r="K37" s="80" t="str">
        <f>IF(tblStudents[[#This Row],[Result]]="Fail","F",INDEX(Lists!$J$4:$J$11,MATCH(tblStudents[[#This Row],[Total Marks]],Lists!$I$4:$I$11,1)))</f>
        <v>B+</v>
      </c>
      <c r="L37" s="81">
        <f>IF(tblStudents[[#This Row],[Result]]="Pass",ROUND(MIN(10,tblStudents[[#This Row],[Total Marks]]/p_SgpaDiv),2),0)</f>
        <v>6.53</v>
      </c>
      <c r="M37" s="82">
        <f>IF(COUNTIFS(tblStudents[[#This Row],[Branch]],cSt_B,tblStudents[[#This Row],[Semester]],cSt_S,tblStudents[[#This Row],[Year]],cSt_Y)=1,tblStudents[[#This Row],[Total Marks]]+ROW()/1000000,"")</f>
        <v>62.000037</v>
      </c>
    </row>
    <row r="38">
      <c r="A38" s="79" t="inlineStr">
        <is>
          <t>STU1034</t>
        </is>
      </c>
      <c r="B38" s="79" t="inlineStr">
        <is>
          <t>Neha Sharma</t>
        </is>
      </c>
      <c r="C38" s="80" t="inlineStr">
        <is>
          <t>F</t>
        </is>
      </c>
      <c r="D38" s="80" t="inlineStr">
        <is>
          <t>ME</t>
        </is>
      </c>
      <c r="E38" s="80" t="n">
        <v>4</v>
      </c>
      <c r="F38" s="80" t="n">
        <v>2026</v>
      </c>
      <c r="G38" s="80" t="n">
        <v>27</v>
      </c>
      <c r="H38" s="80" t="n">
        <v>39</v>
      </c>
      <c r="I38" s="80">
        <f>tblStudents[[#This Row],[Internal Marks]]+tblStudents[[#This Row],[External Marks]]</f>
        <v>66</v>
      </c>
      <c r="J38" s="80" t="str">
        <f>IF(AND(tblStudents[[#This Row],[Total Marks]]&gt;=p_PassTotal,tblStudents[[#This Row],[External Marks]]&gt;=p_PassExt),"Pass","Fail")</f>
        <v>Pass</v>
      </c>
      <c r="K38" s="80" t="str">
        <f>IF(tblStudents[[#This Row],[Result]]="Fail","F",INDEX(Lists!$J$4:$J$11,MATCH(tblStudents[[#This Row],[Total Marks]],Lists!$I$4:$I$11,1)))</f>
        <v>B+</v>
      </c>
      <c r="L38" s="81">
        <f>IF(tblStudents[[#This Row],[Result]]="Pass",ROUND(MIN(10,tblStudents[[#This Row],[Total Marks]]/p_SgpaDiv),2),0)</f>
        <v>6.95</v>
      </c>
      <c r="M38" s="82">
        <f>IF(COUNTIFS(tblStudents[[#This Row],[Branch]],cSt_B,tblStudents[[#This Row],[Semester]],cSt_S,tblStudents[[#This Row],[Year]],cSt_Y)=1,tblStudents[[#This Row],[Total Marks]]+ROW()/1000000,"")</f>
        <v>66.000038</v>
      </c>
    </row>
    <row r="39">
      <c r="A39" s="79" t="inlineStr">
        <is>
          <t>STU1035</t>
        </is>
      </c>
      <c r="B39" s="79" t="inlineStr">
        <is>
          <t>Saurabh Bhatt</t>
        </is>
      </c>
      <c r="C39" s="80" t="inlineStr">
        <is>
          <t>M</t>
        </is>
      </c>
      <c r="D39" s="80" t="inlineStr">
        <is>
          <t>IT</t>
        </is>
      </c>
      <c r="E39" s="80" t="n">
        <v>4</v>
      </c>
      <c r="F39" s="80" t="n">
        <v>2025</v>
      </c>
      <c r="G39" s="80" t="n">
        <v>28</v>
      </c>
      <c r="H39" s="80" t="n">
        <v>34</v>
      </c>
      <c r="I39" s="80">
        <f>tblStudents[[#This Row],[Internal Marks]]+tblStudents[[#This Row],[External Marks]]</f>
        <v>62</v>
      </c>
      <c r="J39" s="80" t="str">
        <f>IF(AND(tblStudents[[#This Row],[Total Marks]]&gt;=p_PassTotal,tblStudents[[#This Row],[External Marks]]&gt;=p_PassExt),"Pass","Fail")</f>
        <v>Pass</v>
      </c>
      <c r="K39" s="80" t="str">
        <f>IF(tblStudents[[#This Row],[Result]]="Fail","F",INDEX(Lists!$J$4:$J$11,MATCH(tblStudents[[#This Row],[Total Marks]],Lists!$I$4:$I$11,1)))</f>
        <v>B+</v>
      </c>
      <c r="L39" s="81">
        <f>IF(tblStudents[[#This Row],[Result]]="Pass",ROUND(MIN(10,tblStudents[[#This Row],[Total Marks]]/p_SgpaDiv),2),0)</f>
        <v>6.53</v>
      </c>
      <c r="M39" s="82">
        <f>IF(COUNTIFS(tblStudents[[#This Row],[Branch]],cSt_B,tblStudents[[#This Row],[Semester]],cSt_S,tblStudents[[#This Row],[Year]],cSt_Y)=1,tblStudents[[#This Row],[Total Marks]]+ROW()/1000000,"")</f>
        <v>62.000039</v>
      </c>
    </row>
    <row r="40">
      <c r="A40" s="79" t="inlineStr">
        <is>
          <t>STU1036</t>
        </is>
      </c>
      <c r="B40" s="79" t="inlineStr">
        <is>
          <t>Shruti Saxena</t>
        </is>
      </c>
      <c r="C40" s="80" t="inlineStr">
        <is>
          <t>F</t>
        </is>
      </c>
      <c r="D40" s="80" t="inlineStr">
        <is>
          <t>CSE</t>
        </is>
      </c>
      <c r="E40" s="80" t="n">
        <v>7</v>
      </c>
      <c r="F40" s="80" t="n">
        <v>2024</v>
      </c>
      <c r="G40" s="80" t="n">
        <v>32</v>
      </c>
      <c r="H40" s="80" t="n">
        <v>53</v>
      </c>
      <c r="I40" s="80">
        <f>tblStudents[[#This Row],[Internal Marks]]+tblStudents[[#This Row],[External Marks]]</f>
        <v>85</v>
      </c>
      <c r="J40" s="80" t="str">
        <f>IF(AND(tblStudents[[#This Row],[Total Marks]]&gt;=p_PassTotal,tblStudents[[#This Row],[External Marks]]&gt;=p_PassExt),"Pass","Fail")</f>
        <v>Pass</v>
      </c>
      <c r="K40" s="80" t="str">
        <f>IF(tblStudents[[#This Row],[Result]]="Fail","F",INDEX(Lists!$J$4:$J$11,MATCH(tblStudents[[#This Row],[Total Marks]],Lists!$I$4:$I$11,1)))</f>
        <v>A+</v>
      </c>
      <c r="L40" s="81">
        <f>IF(tblStudents[[#This Row],[Result]]="Pass",ROUND(MIN(10,tblStudents[[#This Row],[Total Marks]]/p_SgpaDiv),2),0)</f>
        <v>8.95</v>
      </c>
      <c r="M40" s="82">
        <f>IF(COUNTIFS(tblStudents[[#This Row],[Branch]],cSt_B,tblStudents[[#This Row],[Semester]],cSt_S,tblStudents[[#This Row],[Year]],cSt_Y)=1,tblStudents[[#This Row],[Total Marks]]+ROW()/1000000,"")</f>
        <v>85.00004</v>
      </c>
    </row>
    <row r="41">
      <c r="A41" s="79" t="inlineStr">
        <is>
          <t>STU1037</t>
        </is>
      </c>
      <c r="B41" s="79" t="inlineStr">
        <is>
          <t>Priya Chauhan</t>
        </is>
      </c>
      <c r="C41" s="80" t="inlineStr">
        <is>
          <t>F</t>
        </is>
      </c>
      <c r="D41" s="80" t="inlineStr">
        <is>
          <t>CSE</t>
        </is>
      </c>
      <c r="E41" s="80" t="n">
        <v>6</v>
      </c>
      <c r="F41" s="80" t="n">
        <v>2025</v>
      </c>
      <c r="G41" s="80" t="n">
        <v>36</v>
      </c>
      <c r="H41" s="80" t="n">
        <v>54</v>
      </c>
      <c r="I41" s="80">
        <f>tblStudents[[#This Row],[Internal Marks]]+tblStudents[[#This Row],[External Marks]]</f>
        <v>90</v>
      </c>
      <c r="J41" s="80" t="str">
        <f>IF(AND(tblStudents[[#This Row],[Total Marks]]&gt;=p_PassTotal,tblStudents[[#This Row],[External Marks]]&gt;=p_PassExt),"Pass","Fail")</f>
        <v>Pass</v>
      </c>
      <c r="K41" s="80" t="str">
        <f>IF(tblStudents[[#This Row],[Result]]="Fail","F",INDEX(Lists!$J$4:$J$11,MATCH(tblStudents[[#This Row],[Total Marks]],Lists!$I$4:$I$11,1)))</f>
        <v>O</v>
      </c>
      <c r="L41" s="81">
        <f>IF(tblStudents[[#This Row],[Result]]="Pass",ROUND(MIN(10,tblStudents[[#This Row],[Total Marks]]/p_SgpaDiv),2),0)</f>
        <v>9.47</v>
      </c>
      <c r="M41" s="82">
        <f>IF(COUNTIFS(tblStudents[[#This Row],[Branch]],cSt_B,tblStudents[[#This Row],[Semester]],cSt_S,tblStudents[[#This Row],[Year]],cSt_Y)=1,tblStudents[[#This Row],[Total Marks]]+ROW()/1000000,"")</f>
        <v>90.000041</v>
      </c>
    </row>
    <row r="42">
      <c r="A42" s="79" t="inlineStr">
        <is>
          <t>STU1038</t>
        </is>
      </c>
      <c r="B42" s="79" t="inlineStr">
        <is>
          <t>Priya Iyer</t>
        </is>
      </c>
      <c r="C42" s="80" t="inlineStr">
        <is>
          <t>F</t>
        </is>
      </c>
      <c r="D42" s="80" t="inlineStr">
        <is>
          <t>ECE</t>
        </is>
      </c>
      <c r="E42" s="80" t="n">
        <v>3</v>
      </c>
      <c r="F42" s="80" t="n">
        <v>2023</v>
      </c>
      <c r="G42" s="80" t="n">
        <v>31</v>
      </c>
      <c r="H42" s="80" t="n">
        <v>46</v>
      </c>
      <c r="I42" s="80">
        <f>tblStudents[[#This Row],[Internal Marks]]+tblStudents[[#This Row],[External Marks]]</f>
        <v>77</v>
      </c>
      <c r="J42" s="80" t="str">
        <f>IF(AND(tblStudents[[#This Row],[Total Marks]]&gt;=p_PassTotal,tblStudents[[#This Row],[External Marks]]&gt;=p_PassExt),"Pass","Fail")</f>
        <v>Pass</v>
      </c>
      <c r="K42" s="80" t="str">
        <f>IF(tblStudents[[#This Row],[Result]]="Fail","F",INDEX(Lists!$J$4:$J$11,MATCH(tblStudents[[#This Row],[Total Marks]],Lists!$I$4:$I$11,1)))</f>
        <v>A</v>
      </c>
      <c r="L42" s="81">
        <f>IF(tblStudents[[#This Row],[Result]]="Pass",ROUND(MIN(10,tblStudents[[#This Row],[Total Marks]]/p_SgpaDiv),2),0)</f>
        <v>8.11</v>
      </c>
      <c r="M42" s="82">
        <f>IF(COUNTIFS(tblStudents[[#This Row],[Branch]],cSt_B,tblStudents[[#This Row],[Semester]],cSt_S,tblStudents[[#This Row],[Year]],cSt_Y)=1,tblStudents[[#This Row],[Total Marks]]+ROW()/1000000,"")</f>
        <v>77.000042</v>
      </c>
    </row>
    <row r="43">
      <c r="A43" s="79" t="inlineStr">
        <is>
          <t>STU1039</t>
        </is>
      </c>
      <c r="B43" s="79" t="inlineStr">
        <is>
          <t>Shruti Gupta</t>
        </is>
      </c>
      <c r="C43" s="80" t="inlineStr">
        <is>
          <t>F</t>
        </is>
      </c>
      <c r="D43" s="80" t="inlineStr">
        <is>
          <t>CE</t>
        </is>
      </c>
      <c r="E43" s="80" t="n">
        <v>4</v>
      </c>
      <c r="F43" s="80" t="n">
        <v>2024</v>
      </c>
      <c r="G43" s="80" t="n">
        <v>27</v>
      </c>
      <c r="H43" s="80" t="n">
        <v>43</v>
      </c>
      <c r="I43" s="80">
        <f>tblStudents[[#This Row],[Internal Marks]]+tblStudents[[#This Row],[External Marks]]</f>
        <v>70</v>
      </c>
      <c r="J43" s="80" t="str">
        <f>IF(AND(tblStudents[[#This Row],[Total Marks]]&gt;=p_PassTotal,tblStudents[[#This Row],[External Marks]]&gt;=p_PassExt),"Pass","Fail")</f>
        <v>Pass</v>
      </c>
      <c r="K43" s="80" t="str">
        <f>IF(tblStudents[[#This Row],[Result]]="Fail","F",INDEX(Lists!$J$4:$J$11,MATCH(tblStudents[[#This Row],[Total Marks]],Lists!$I$4:$I$11,1)))</f>
        <v>A</v>
      </c>
      <c r="L43" s="81">
        <f>IF(tblStudents[[#This Row],[Result]]="Pass",ROUND(MIN(10,tblStudents[[#This Row],[Total Marks]]/p_SgpaDiv),2),0)</f>
        <v>7.37</v>
      </c>
      <c r="M43" s="82">
        <f>IF(COUNTIFS(tblStudents[[#This Row],[Branch]],cSt_B,tblStudents[[#This Row],[Semester]],cSt_S,tblStudents[[#This Row],[Year]],cSt_Y)=1,tblStudents[[#This Row],[Total Marks]]+ROW()/1000000,"")</f>
        <v>70.000043</v>
      </c>
    </row>
    <row r="44">
      <c r="A44" s="79" t="inlineStr">
        <is>
          <t>STU1040</t>
        </is>
      </c>
      <c r="B44" s="79" t="inlineStr">
        <is>
          <t>Lakshay Das</t>
        </is>
      </c>
      <c r="C44" s="80" t="inlineStr">
        <is>
          <t>M</t>
        </is>
      </c>
      <c r="D44" s="80" t="inlineStr">
        <is>
          <t>IT</t>
        </is>
      </c>
      <c r="E44" s="80" t="n">
        <v>6</v>
      </c>
      <c r="F44" s="80" t="n">
        <v>2024</v>
      </c>
      <c r="G44" s="80" t="n">
        <v>29</v>
      </c>
      <c r="H44" s="80" t="n">
        <v>45</v>
      </c>
      <c r="I44" s="80">
        <f>tblStudents[[#This Row],[Internal Marks]]+tblStudents[[#This Row],[External Marks]]</f>
        <v>74</v>
      </c>
      <c r="J44" s="80" t="str">
        <f>IF(AND(tblStudents[[#This Row],[Total Marks]]&gt;=p_PassTotal,tblStudents[[#This Row],[External Marks]]&gt;=p_PassExt),"Pass","Fail")</f>
        <v>Pass</v>
      </c>
      <c r="K44" s="80" t="str">
        <f>IF(tblStudents[[#This Row],[Result]]="Fail","F",INDEX(Lists!$J$4:$J$11,MATCH(tblStudents[[#This Row],[Total Marks]],Lists!$I$4:$I$11,1)))</f>
        <v>A</v>
      </c>
      <c r="L44" s="81">
        <f>IF(tblStudents[[#This Row],[Result]]="Pass",ROUND(MIN(10,tblStudents[[#This Row],[Total Marks]]/p_SgpaDiv),2),0)</f>
        <v>7.79</v>
      </c>
      <c r="M44" s="82">
        <f>IF(COUNTIFS(tblStudents[[#This Row],[Branch]],cSt_B,tblStudents[[#This Row],[Semester]],cSt_S,tblStudents[[#This Row],[Year]],cSt_Y)=1,tblStudents[[#This Row],[Total Marks]]+ROW()/1000000,"")</f>
        <v>74.000044</v>
      </c>
    </row>
    <row r="45">
      <c r="A45" s="79" t="inlineStr">
        <is>
          <t>STU1041</t>
        </is>
      </c>
      <c r="B45" s="79" t="inlineStr">
        <is>
          <t>Vikram Verma</t>
        </is>
      </c>
      <c r="C45" s="80" t="inlineStr">
        <is>
          <t>M</t>
        </is>
      </c>
      <c r="D45" s="80" t="inlineStr">
        <is>
          <t>IT</t>
        </is>
      </c>
      <c r="E45" s="80" t="n">
        <v>1</v>
      </c>
      <c r="F45" s="80" t="n">
        <v>2025</v>
      </c>
      <c r="G45" s="80" t="n">
        <v>31</v>
      </c>
      <c r="H45" s="80" t="n">
        <v>41</v>
      </c>
      <c r="I45" s="80">
        <f>tblStudents[[#This Row],[Internal Marks]]+tblStudents[[#This Row],[External Marks]]</f>
        <v>72</v>
      </c>
      <c r="J45" s="80" t="str">
        <f>IF(AND(tblStudents[[#This Row],[Total Marks]]&gt;=p_PassTotal,tblStudents[[#This Row],[External Marks]]&gt;=p_PassExt),"Pass","Fail")</f>
        <v>Pass</v>
      </c>
      <c r="K45" s="80" t="str">
        <f>IF(tblStudents[[#This Row],[Result]]="Fail","F",INDEX(Lists!$J$4:$J$11,MATCH(tblStudents[[#This Row],[Total Marks]],Lists!$I$4:$I$11,1)))</f>
        <v>A</v>
      </c>
      <c r="L45" s="81">
        <f>IF(tblStudents[[#This Row],[Result]]="Pass",ROUND(MIN(10,tblStudents[[#This Row],[Total Marks]]/p_SgpaDiv),2),0)</f>
        <v>7.58</v>
      </c>
      <c r="M45" s="82">
        <f>IF(COUNTIFS(tblStudents[[#This Row],[Branch]],cSt_B,tblStudents[[#This Row],[Semester]],cSt_S,tblStudents[[#This Row],[Year]],cSt_Y)=1,tblStudents[[#This Row],[Total Marks]]+ROW()/1000000,"")</f>
        <v>72.000045</v>
      </c>
    </row>
    <row r="46">
      <c r="A46" s="79" t="inlineStr">
        <is>
          <t>STU1042</t>
        </is>
      </c>
      <c r="B46" s="79" t="inlineStr">
        <is>
          <t>Shubham Banerjee</t>
        </is>
      </c>
      <c r="C46" s="80" t="inlineStr">
        <is>
          <t>M</t>
        </is>
      </c>
      <c r="D46" s="80" t="inlineStr">
        <is>
          <t>CSE</t>
        </is>
      </c>
      <c r="E46" s="80" t="n">
        <v>2</v>
      </c>
      <c r="F46" s="80" t="n">
        <v>2026</v>
      </c>
      <c r="G46" s="80" t="n">
        <v>27</v>
      </c>
      <c r="H46" s="80" t="n">
        <v>47</v>
      </c>
      <c r="I46" s="80">
        <f>tblStudents[[#This Row],[Internal Marks]]+tblStudents[[#This Row],[External Marks]]</f>
        <v>74</v>
      </c>
      <c r="J46" s="80" t="str">
        <f>IF(AND(tblStudents[[#This Row],[Total Marks]]&gt;=p_PassTotal,tblStudents[[#This Row],[External Marks]]&gt;=p_PassExt),"Pass","Fail")</f>
        <v>Pass</v>
      </c>
      <c r="K46" s="80" t="str">
        <f>IF(tblStudents[[#This Row],[Result]]="Fail","F",INDEX(Lists!$J$4:$J$11,MATCH(tblStudents[[#This Row],[Total Marks]],Lists!$I$4:$I$11,1)))</f>
        <v>A</v>
      </c>
      <c r="L46" s="81">
        <f>IF(tblStudents[[#This Row],[Result]]="Pass",ROUND(MIN(10,tblStudents[[#This Row],[Total Marks]]/p_SgpaDiv),2),0)</f>
        <v>7.79</v>
      </c>
      <c r="M46" s="82">
        <f>IF(COUNTIFS(tblStudents[[#This Row],[Branch]],cSt_B,tblStudents[[#This Row],[Semester]],cSt_S,tblStudents[[#This Row],[Year]],cSt_Y)=1,tblStudents[[#This Row],[Total Marks]]+ROW()/1000000,"")</f>
        <v>74.000046</v>
      </c>
    </row>
    <row r="47">
      <c r="A47" s="79" t="inlineStr">
        <is>
          <t>STU1043</t>
        </is>
      </c>
      <c r="B47" s="79" t="inlineStr">
        <is>
          <t>Kritika Tiwari</t>
        </is>
      </c>
      <c r="C47" s="80" t="inlineStr">
        <is>
          <t>F</t>
        </is>
      </c>
      <c r="D47" s="80" t="inlineStr">
        <is>
          <t>ME</t>
        </is>
      </c>
      <c r="E47" s="80" t="n">
        <v>4</v>
      </c>
      <c r="F47" s="80" t="n">
        <v>2025</v>
      </c>
      <c r="G47" s="80" t="n">
        <v>22</v>
      </c>
      <c r="H47" s="80" t="n">
        <v>34</v>
      </c>
      <c r="I47" s="80">
        <f>tblStudents[[#This Row],[Internal Marks]]+tblStudents[[#This Row],[External Marks]]</f>
        <v>56</v>
      </c>
      <c r="J47" s="80" t="str">
        <f>IF(AND(tblStudents[[#This Row],[Total Marks]]&gt;=p_PassTotal,tblStudents[[#This Row],[External Marks]]&gt;=p_PassExt),"Pass","Fail")</f>
        <v>Pass</v>
      </c>
      <c r="K47" s="80" t="str">
        <f>IF(tblStudents[[#This Row],[Result]]="Fail","F",INDEX(Lists!$J$4:$J$11,MATCH(tblStudents[[#This Row],[Total Marks]],Lists!$I$4:$I$11,1)))</f>
        <v>B</v>
      </c>
      <c r="L47" s="81">
        <f>IF(tblStudents[[#This Row],[Result]]="Pass",ROUND(MIN(10,tblStudents[[#This Row],[Total Marks]]/p_SgpaDiv),2),0)</f>
        <v>5.89</v>
      </c>
      <c r="M47" s="82">
        <f>IF(COUNTIFS(tblStudents[[#This Row],[Branch]],cSt_B,tblStudents[[#This Row],[Semester]],cSt_S,tblStudents[[#This Row],[Year]],cSt_Y)=1,tblStudents[[#This Row],[Total Marks]]+ROW()/1000000,"")</f>
        <v>56.000047</v>
      </c>
    </row>
    <row r="48">
      <c r="A48" s="79" t="inlineStr">
        <is>
          <t>STU1044</t>
        </is>
      </c>
      <c r="B48" s="79" t="inlineStr">
        <is>
          <t>Devansh Malik</t>
        </is>
      </c>
      <c r="C48" s="80" t="inlineStr">
        <is>
          <t>M</t>
        </is>
      </c>
      <c r="D48" s="80" t="inlineStr">
        <is>
          <t>ECE</t>
        </is>
      </c>
      <c r="E48" s="80" t="n">
        <v>4</v>
      </c>
      <c r="F48" s="80" t="n">
        <v>2024</v>
      </c>
      <c r="G48" s="80" t="n">
        <v>25</v>
      </c>
      <c r="H48" s="80" t="n">
        <v>46</v>
      </c>
      <c r="I48" s="80">
        <f>tblStudents[[#This Row],[Internal Marks]]+tblStudents[[#This Row],[External Marks]]</f>
        <v>71</v>
      </c>
      <c r="J48" s="80" t="str">
        <f>IF(AND(tblStudents[[#This Row],[Total Marks]]&gt;=p_PassTotal,tblStudents[[#This Row],[External Marks]]&gt;=p_PassExt),"Pass","Fail")</f>
        <v>Pass</v>
      </c>
      <c r="K48" s="80" t="str">
        <f>IF(tblStudents[[#This Row],[Result]]="Fail","F",INDEX(Lists!$J$4:$J$11,MATCH(tblStudents[[#This Row],[Total Marks]],Lists!$I$4:$I$11,1)))</f>
        <v>A</v>
      </c>
      <c r="L48" s="81">
        <f>IF(tblStudents[[#This Row],[Result]]="Pass",ROUND(MIN(10,tblStudents[[#This Row],[Total Marks]]/p_SgpaDiv),2),0)</f>
        <v>7.47</v>
      </c>
      <c r="M48" s="82">
        <f>IF(COUNTIFS(tblStudents[[#This Row],[Branch]],cSt_B,tblStudents[[#This Row],[Semester]],cSt_S,tblStudents[[#This Row],[Year]],cSt_Y)=1,tblStudents[[#This Row],[Total Marks]]+ROW()/1000000,"")</f>
        <v>71.000048</v>
      </c>
    </row>
    <row r="49">
      <c r="A49" s="79" t="inlineStr">
        <is>
          <t>STU1045</t>
        </is>
      </c>
      <c r="B49" s="79" t="inlineStr">
        <is>
          <t>Bhavna Kapoor</t>
        </is>
      </c>
      <c r="C49" s="80" t="inlineStr">
        <is>
          <t>F</t>
        </is>
      </c>
      <c r="D49" s="80" t="inlineStr">
        <is>
          <t>CSE</t>
        </is>
      </c>
      <c r="E49" s="80" t="n">
        <v>8</v>
      </c>
      <c r="F49" s="80" t="n">
        <v>2024</v>
      </c>
      <c r="G49" s="80" t="n">
        <v>28</v>
      </c>
      <c r="H49" s="80" t="n">
        <v>56</v>
      </c>
      <c r="I49" s="80">
        <f>tblStudents[[#This Row],[Internal Marks]]+tblStudents[[#This Row],[External Marks]]</f>
        <v>84</v>
      </c>
      <c r="J49" s="80" t="str">
        <f>IF(AND(tblStudents[[#This Row],[Total Marks]]&gt;=p_PassTotal,tblStudents[[#This Row],[External Marks]]&gt;=p_PassExt),"Pass","Fail")</f>
        <v>Pass</v>
      </c>
      <c r="K49" s="80" t="str">
        <f>IF(tblStudents[[#This Row],[Result]]="Fail","F",INDEX(Lists!$J$4:$J$11,MATCH(tblStudents[[#This Row],[Total Marks]],Lists!$I$4:$I$11,1)))</f>
        <v>A+</v>
      </c>
      <c r="L49" s="81">
        <f>IF(tblStudents[[#This Row],[Result]]="Pass",ROUND(MIN(10,tblStudents[[#This Row],[Total Marks]]/p_SgpaDiv),2),0)</f>
        <v>8.84</v>
      </c>
      <c r="M49" s="82">
        <f>IF(COUNTIFS(tblStudents[[#This Row],[Branch]],cSt_B,tblStudents[[#This Row],[Semester]],cSt_S,tblStudents[[#This Row],[Year]],cSt_Y)=1,tblStudents[[#This Row],[Total Marks]]+ROW()/1000000,"")</f>
        <v>84.000049</v>
      </c>
    </row>
    <row r="50">
      <c r="A50" s="79" t="inlineStr">
        <is>
          <t>STU1046</t>
        </is>
      </c>
      <c r="B50" s="79" t="inlineStr">
        <is>
          <t>Divya Agarwal</t>
        </is>
      </c>
      <c r="C50" s="80" t="inlineStr">
        <is>
          <t>F</t>
        </is>
      </c>
      <c r="D50" s="80" t="inlineStr">
        <is>
          <t>ECE</t>
        </is>
      </c>
      <c r="E50" s="80" t="n">
        <v>3</v>
      </c>
      <c r="F50" s="80" t="n">
        <v>2026</v>
      </c>
      <c r="G50" s="80" t="n">
        <v>23</v>
      </c>
      <c r="H50" s="80" t="n">
        <v>45</v>
      </c>
      <c r="I50" s="80">
        <f>tblStudents[[#This Row],[Internal Marks]]+tblStudents[[#This Row],[External Marks]]</f>
        <v>68</v>
      </c>
      <c r="J50" s="80" t="str">
        <f>IF(AND(tblStudents[[#This Row],[Total Marks]]&gt;=p_PassTotal,tblStudents[[#This Row],[External Marks]]&gt;=p_PassExt),"Pass","Fail")</f>
        <v>Pass</v>
      </c>
      <c r="K50" s="80" t="str">
        <f>IF(tblStudents[[#This Row],[Result]]="Fail","F",INDEX(Lists!$J$4:$J$11,MATCH(tblStudents[[#This Row],[Total Marks]],Lists!$I$4:$I$11,1)))</f>
        <v>B+</v>
      </c>
      <c r="L50" s="81">
        <f>IF(tblStudents[[#This Row],[Result]]="Pass",ROUND(MIN(10,tblStudents[[#This Row],[Total Marks]]/p_SgpaDiv),2),0)</f>
        <v>7.16</v>
      </c>
      <c r="M50" s="82">
        <f>IF(COUNTIFS(tblStudents[[#This Row],[Branch]],cSt_B,tblStudents[[#This Row],[Semester]],cSt_S,tblStudents[[#This Row],[Year]],cSt_Y)=1,tblStudents[[#This Row],[Total Marks]]+ROW()/1000000,"")</f>
        <v>68.00005</v>
      </c>
    </row>
    <row r="51">
      <c r="A51" s="79" t="inlineStr">
        <is>
          <t>STU1047</t>
        </is>
      </c>
      <c r="B51" s="79" t="inlineStr">
        <is>
          <t>Tanvi Agarwal</t>
        </is>
      </c>
      <c r="C51" s="80" t="inlineStr">
        <is>
          <t>F</t>
        </is>
      </c>
      <c r="D51" s="80" t="inlineStr">
        <is>
          <t>ME</t>
        </is>
      </c>
      <c r="E51" s="80" t="n">
        <v>5</v>
      </c>
      <c r="F51" s="80" t="n">
        <v>2024</v>
      </c>
      <c r="G51" s="80" t="n">
        <v>27</v>
      </c>
      <c r="H51" s="80" t="n">
        <v>38</v>
      </c>
      <c r="I51" s="80">
        <f>tblStudents[[#This Row],[Internal Marks]]+tblStudents[[#This Row],[External Marks]]</f>
        <v>65</v>
      </c>
      <c r="J51" s="80" t="str">
        <f>IF(AND(tblStudents[[#This Row],[Total Marks]]&gt;=p_PassTotal,tblStudents[[#This Row],[External Marks]]&gt;=p_PassExt),"Pass","Fail")</f>
        <v>Pass</v>
      </c>
      <c r="K51" s="80" t="str">
        <f>IF(tblStudents[[#This Row],[Result]]="Fail","F",INDEX(Lists!$J$4:$J$11,MATCH(tblStudents[[#This Row],[Total Marks]],Lists!$I$4:$I$11,1)))</f>
        <v>B+</v>
      </c>
      <c r="L51" s="81">
        <f>IF(tblStudents[[#This Row],[Result]]="Pass",ROUND(MIN(10,tblStudents[[#This Row],[Total Marks]]/p_SgpaDiv),2),0)</f>
        <v>6.84</v>
      </c>
      <c r="M51" s="82">
        <f>IF(COUNTIFS(tblStudents[[#This Row],[Branch]],cSt_B,tblStudents[[#This Row],[Semester]],cSt_S,tblStudents[[#This Row],[Year]],cSt_Y)=1,tblStudents[[#This Row],[Total Marks]]+ROW()/1000000,"")</f>
        <v>65.000051</v>
      </c>
    </row>
    <row r="52">
      <c r="A52" s="79" t="inlineStr">
        <is>
          <t>STU1048</t>
        </is>
      </c>
      <c r="B52" s="79" t="inlineStr">
        <is>
          <t>Bhavna Verma</t>
        </is>
      </c>
      <c r="C52" s="80" t="inlineStr">
        <is>
          <t>F</t>
        </is>
      </c>
      <c r="D52" s="80" t="inlineStr">
        <is>
          <t>ME</t>
        </is>
      </c>
      <c r="E52" s="80" t="n">
        <v>6</v>
      </c>
      <c r="F52" s="80" t="n">
        <v>2026</v>
      </c>
      <c r="G52" s="80" t="n">
        <v>21</v>
      </c>
      <c r="H52" s="80" t="n">
        <v>41</v>
      </c>
      <c r="I52" s="80">
        <f>tblStudents[[#This Row],[Internal Marks]]+tblStudents[[#This Row],[External Marks]]</f>
        <v>62</v>
      </c>
      <c r="J52" s="80" t="str">
        <f>IF(AND(tblStudents[[#This Row],[Total Marks]]&gt;=p_PassTotal,tblStudents[[#This Row],[External Marks]]&gt;=p_PassExt),"Pass","Fail")</f>
        <v>Pass</v>
      </c>
      <c r="K52" s="80" t="str">
        <f>IF(tblStudents[[#This Row],[Result]]="Fail","F",INDEX(Lists!$J$4:$J$11,MATCH(tblStudents[[#This Row],[Total Marks]],Lists!$I$4:$I$11,1)))</f>
        <v>B+</v>
      </c>
      <c r="L52" s="81">
        <f>IF(tblStudents[[#This Row],[Result]]="Pass",ROUND(MIN(10,tblStudents[[#This Row],[Total Marks]]/p_SgpaDiv),2),0)</f>
        <v>6.53</v>
      </c>
      <c r="M52" s="82">
        <f>IF(COUNTIFS(tblStudents[[#This Row],[Branch]],cSt_B,tblStudents[[#This Row],[Semester]],cSt_S,tblStudents[[#This Row],[Year]],cSt_Y)=1,tblStudents[[#This Row],[Total Marks]]+ROW()/1000000,"")</f>
        <v>62.000052</v>
      </c>
    </row>
    <row r="53">
      <c r="A53" s="79" t="inlineStr">
        <is>
          <t>STU1049</t>
        </is>
      </c>
      <c r="B53" s="79" t="inlineStr">
        <is>
          <t>Rajat Rawat</t>
        </is>
      </c>
      <c r="C53" s="80" t="inlineStr">
        <is>
          <t>M</t>
        </is>
      </c>
      <c r="D53" s="80" t="inlineStr">
        <is>
          <t>ME</t>
        </is>
      </c>
      <c r="E53" s="80" t="n">
        <v>1</v>
      </c>
      <c r="F53" s="80" t="n">
        <v>2026</v>
      </c>
      <c r="G53" s="80" t="n">
        <v>26</v>
      </c>
      <c r="H53" s="80" t="n">
        <v>35</v>
      </c>
      <c r="I53" s="80">
        <f>tblStudents[[#This Row],[Internal Marks]]+tblStudents[[#This Row],[External Marks]]</f>
        <v>61</v>
      </c>
      <c r="J53" s="80" t="str">
        <f>IF(AND(tblStudents[[#This Row],[Total Marks]]&gt;=p_PassTotal,tblStudents[[#This Row],[External Marks]]&gt;=p_PassExt),"Pass","Fail")</f>
        <v>Pass</v>
      </c>
      <c r="K53" s="80" t="str">
        <f>IF(tblStudents[[#This Row],[Result]]="Fail","F",INDEX(Lists!$J$4:$J$11,MATCH(tblStudents[[#This Row],[Total Marks]],Lists!$I$4:$I$11,1)))</f>
        <v>B+</v>
      </c>
      <c r="L53" s="81">
        <f>IF(tblStudents[[#This Row],[Result]]="Pass",ROUND(MIN(10,tblStudents[[#This Row],[Total Marks]]/p_SgpaDiv),2),0)</f>
        <v>6.42</v>
      </c>
      <c r="M53" s="82">
        <f>IF(COUNTIFS(tblStudents[[#This Row],[Branch]],cSt_B,tblStudents[[#This Row],[Semester]],cSt_S,tblStudents[[#This Row],[Year]],cSt_Y)=1,tblStudents[[#This Row],[Total Marks]]+ROW()/1000000,"")</f>
        <v>61.000053</v>
      </c>
    </row>
    <row r="54">
      <c r="A54" s="79" t="inlineStr">
        <is>
          <t>STU1050</t>
        </is>
      </c>
      <c r="B54" s="79" t="inlineStr">
        <is>
          <t>Jhanvi Das</t>
        </is>
      </c>
      <c r="C54" s="80" t="inlineStr">
        <is>
          <t>F</t>
        </is>
      </c>
      <c r="D54" s="80" t="inlineStr">
        <is>
          <t>ECE</t>
        </is>
      </c>
      <c r="E54" s="80" t="n">
        <v>1</v>
      </c>
      <c r="F54" s="80" t="n">
        <v>2024</v>
      </c>
      <c r="G54" s="80" t="n">
        <v>23</v>
      </c>
      <c r="H54" s="80" t="n">
        <v>32</v>
      </c>
      <c r="I54" s="80">
        <f>tblStudents[[#This Row],[Internal Marks]]+tblStudents[[#This Row],[External Marks]]</f>
        <v>55</v>
      </c>
      <c r="J54" s="80" t="str">
        <f>IF(AND(tblStudents[[#This Row],[Total Marks]]&gt;=p_PassTotal,tblStudents[[#This Row],[External Marks]]&gt;=p_PassExt),"Pass","Fail")</f>
        <v>Pass</v>
      </c>
      <c r="K54" s="80" t="str">
        <f>IF(tblStudents[[#This Row],[Result]]="Fail","F",INDEX(Lists!$J$4:$J$11,MATCH(tblStudents[[#This Row],[Total Marks]],Lists!$I$4:$I$11,1)))</f>
        <v>B</v>
      </c>
      <c r="L54" s="81">
        <f>IF(tblStudents[[#This Row],[Result]]="Pass",ROUND(MIN(10,tblStudents[[#This Row],[Total Marks]]/p_SgpaDiv),2),0)</f>
        <v>5.79</v>
      </c>
      <c r="M54" s="82">
        <f>IF(COUNTIFS(tblStudents[[#This Row],[Branch]],cSt_B,tblStudents[[#This Row],[Semester]],cSt_S,tblStudents[[#This Row],[Year]],cSt_Y)=1,tblStudents[[#This Row],[Total Marks]]+ROW()/1000000,"")</f>
        <v>55.000054</v>
      </c>
    </row>
    <row r="55">
      <c r="A55" s="79" t="inlineStr">
        <is>
          <t>STU1051</t>
        </is>
      </c>
      <c r="B55" s="79" t="inlineStr">
        <is>
          <t>Diya Srivastava</t>
        </is>
      </c>
      <c r="C55" s="80" t="inlineStr">
        <is>
          <t>F</t>
        </is>
      </c>
      <c r="D55" s="80" t="inlineStr">
        <is>
          <t>CE</t>
        </is>
      </c>
      <c r="E55" s="80" t="n">
        <v>5</v>
      </c>
      <c r="F55" s="80" t="n">
        <v>2025</v>
      </c>
      <c r="G55" s="80" t="n">
        <v>33</v>
      </c>
      <c r="H55" s="80" t="n">
        <v>49</v>
      </c>
      <c r="I55" s="80">
        <f>tblStudents[[#This Row],[Internal Marks]]+tblStudents[[#This Row],[External Marks]]</f>
        <v>82</v>
      </c>
      <c r="J55" s="80" t="str">
        <f>IF(AND(tblStudents[[#This Row],[Total Marks]]&gt;=p_PassTotal,tblStudents[[#This Row],[External Marks]]&gt;=p_PassExt),"Pass","Fail")</f>
        <v>Pass</v>
      </c>
      <c r="K55" s="80" t="str">
        <f>IF(tblStudents[[#This Row],[Result]]="Fail","F",INDEX(Lists!$J$4:$J$11,MATCH(tblStudents[[#This Row],[Total Marks]],Lists!$I$4:$I$11,1)))</f>
        <v>A+</v>
      </c>
      <c r="L55" s="81">
        <f>IF(tblStudents[[#This Row],[Result]]="Pass",ROUND(MIN(10,tblStudents[[#This Row],[Total Marks]]/p_SgpaDiv),2),0)</f>
        <v>8.63</v>
      </c>
      <c r="M55" s="82">
        <f>IF(COUNTIFS(tblStudents[[#This Row],[Branch]],cSt_B,tblStudents[[#This Row],[Semester]],cSt_S,tblStudents[[#This Row],[Year]],cSt_Y)=1,tblStudents[[#This Row],[Total Marks]]+ROW()/1000000,"")</f>
        <v>82.000055</v>
      </c>
    </row>
    <row r="56">
      <c r="A56" s="79" t="inlineStr">
        <is>
          <t>STU1052</t>
        </is>
      </c>
      <c r="B56" s="79" t="inlineStr">
        <is>
          <t>Meera Shah</t>
        </is>
      </c>
      <c r="C56" s="80" t="inlineStr">
        <is>
          <t>F</t>
        </is>
      </c>
      <c r="D56" s="80" t="inlineStr">
        <is>
          <t>CSE</t>
        </is>
      </c>
      <c r="E56" s="80" t="n">
        <v>3</v>
      </c>
      <c r="F56" s="80" t="n">
        <v>2025</v>
      </c>
      <c r="G56" s="80" t="n">
        <v>31</v>
      </c>
      <c r="H56" s="80" t="n">
        <v>47</v>
      </c>
      <c r="I56" s="80">
        <f>tblStudents[[#This Row],[Internal Marks]]+tblStudents[[#This Row],[External Marks]]</f>
        <v>78</v>
      </c>
      <c r="J56" s="80" t="str">
        <f>IF(AND(tblStudents[[#This Row],[Total Marks]]&gt;=p_PassTotal,tblStudents[[#This Row],[External Marks]]&gt;=p_PassExt),"Pass","Fail")</f>
        <v>Pass</v>
      </c>
      <c r="K56" s="80" t="str">
        <f>IF(tblStudents[[#This Row],[Result]]="Fail","F",INDEX(Lists!$J$4:$J$11,MATCH(tblStudents[[#This Row],[Total Marks]],Lists!$I$4:$I$11,1)))</f>
        <v>A</v>
      </c>
      <c r="L56" s="81">
        <f>IF(tblStudents[[#This Row],[Result]]="Pass",ROUND(MIN(10,tblStudents[[#This Row],[Total Marks]]/p_SgpaDiv),2),0)</f>
        <v>8.21</v>
      </c>
      <c r="M56" s="82">
        <f>IF(COUNTIFS(tblStudents[[#This Row],[Branch]],cSt_B,tblStudents[[#This Row],[Semester]],cSt_S,tblStudents[[#This Row],[Year]],cSt_Y)=1,tblStudents[[#This Row],[Total Marks]]+ROW()/1000000,"")</f>
        <v>78.000056</v>
      </c>
    </row>
    <row r="57">
      <c r="A57" s="79" t="inlineStr">
        <is>
          <t>STU1053</t>
        </is>
      </c>
      <c r="B57" s="79" t="inlineStr">
        <is>
          <t>Rahul Verma</t>
        </is>
      </c>
      <c r="C57" s="80" t="inlineStr">
        <is>
          <t>M</t>
        </is>
      </c>
      <c r="D57" s="80" t="inlineStr">
        <is>
          <t>ECE</t>
        </is>
      </c>
      <c r="E57" s="80" t="n">
        <v>7</v>
      </c>
      <c r="F57" s="80" t="n">
        <v>2023</v>
      </c>
      <c r="G57" s="80" t="n">
        <v>34</v>
      </c>
      <c r="H57" s="80" t="n">
        <v>60</v>
      </c>
      <c r="I57" s="80">
        <f>tblStudents[[#This Row],[Internal Marks]]+tblStudents[[#This Row],[External Marks]]</f>
        <v>94</v>
      </c>
      <c r="J57" s="80" t="str">
        <f>IF(AND(tblStudents[[#This Row],[Total Marks]]&gt;=p_PassTotal,tblStudents[[#This Row],[External Marks]]&gt;=p_PassExt),"Pass","Fail")</f>
        <v>Pass</v>
      </c>
      <c r="K57" s="80" t="str">
        <f>IF(tblStudents[[#This Row],[Result]]="Fail","F",INDEX(Lists!$J$4:$J$11,MATCH(tblStudents[[#This Row],[Total Marks]],Lists!$I$4:$I$11,1)))</f>
        <v>O</v>
      </c>
      <c r="L57" s="81">
        <f>IF(tblStudents[[#This Row],[Result]]="Pass",ROUND(MIN(10,tblStudents[[#This Row],[Total Marks]]/p_SgpaDiv),2),0)</f>
        <v>9.89</v>
      </c>
      <c r="M57" s="82">
        <f>IF(COUNTIFS(tblStudents[[#This Row],[Branch]],cSt_B,tblStudents[[#This Row],[Semester]],cSt_S,tblStudents[[#This Row],[Year]],cSt_Y)=1,tblStudents[[#This Row],[Total Marks]]+ROW()/1000000,"")</f>
        <v>94.000057</v>
      </c>
    </row>
    <row r="58">
      <c r="A58" s="79" t="inlineStr">
        <is>
          <t>STU1054</t>
        </is>
      </c>
      <c r="B58" s="79" t="inlineStr">
        <is>
          <t>Sakshi Rawat</t>
        </is>
      </c>
      <c r="C58" s="80" t="inlineStr">
        <is>
          <t>F</t>
        </is>
      </c>
      <c r="D58" s="80" t="inlineStr">
        <is>
          <t>ECE</t>
        </is>
      </c>
      <c r="E58" s="80" t="n">
        <v>8</v>
      </c>
      <c r="F58" s="80" t="n">
        <v>2025</v>
      </c>
      <c r="G58" s="80" t="n">
        <v>24</v>
      </c>
      <c r="H58" s="80" t="n">
        <v>40</v>
      </c>
      <c r="I58" s="80">
        <f>tblStudents[[#This Row],[Internal Marks]]+tblStudents[[#This Row],[External Marks]]</f>
        <v>64</v>
      </c>
      <c r="J58" s="80" t="str">
        <f>IF(AND(tblStudents[[#This Row],[Total Marks]]&gt;=p_PassTotal,tblStudents[[#This Row],[External Marks]]&gt;=p_PassExt),"Pass","Fail")</f>
        <v>Pass</v>
      </c>
      <c r="K58" s="80" t="str">
        <f>IF(tblStudents[[#This Row],[Result]]="Fail","F",INDEX(Lists!$J$4:$J$11,MATCH(tblStudents[[#This Row],[Total Marks]],Lists!$I$4:$I$11,1)))</f>
        <v>B+</v>
      </c>
      <c r="L58" s="81">
        <f>IF(tblStudents[[#This Row],[Result]]="Pass",ROUND(MIN(10,tblStudents[[#This Row],[Total Marks]]/p_SgpaDiv),2),0)</f>
        <v>6.74</v>
      </c>
      <c r="M58" s="82">
        <f>IF(COUNTIFS(tblStudents[[#This Row],[Branch]],cSt_B,tblStudents[[#This Row],[Semester]],cSt_S,tblStudents[[#This Row],[Year]],cSt_Y)=1,tblStudents[[#This Row],[Total Marks]]+ROW()/1000000,"")</f>
        <v>64.000058</v>
      </c>
    </row>
    <row r="59">
      <c r="A59" s="79" t="inlineStr">
        <is>
          <t>STU1055</t>
        </is>
      </c>
      <c r="B59" s="79" t="inlineStr">
        <is>
          <t>Riya Verma</t>
        </is>
      </c>
      <c r="C59" s="80" t="inlineStr">
        <is>
          <t>F</t>
        </is>
      </c>
      <c r="D59" s="80" t="inlineStr">
        <is>
          <t>ME</t>
        </is>
      </c>
      <c r="E59" s="80" t="n">
        <v>6</v>
      </c>
      <c r="F59" s="80" t="n">
        <v>2025</v>
      </c>
      <c r="G59" s="80" t="n">
        <v>26</v>
      </c>
      <c r="H59" s="80" t="n">
        <v>39</v>
      </c>
      <c r="I59" s="80">
        <f>tblStudents[[#This Row],[Internal Marks]]+tblStudents[[#This Row],[External Marks]]</f>
        <v>65</v>
      </c>
      <c r="J59" s="80" t="str">
        <f>IF(AND(tblStudents[[#This Row],[Total Marks]]&gt;=p_PassTotal,tblStudents[[#This Row],[External Marks]]&gt;=p_PassExt),"Pass","Fail")</f>
        <v>Pass</v>
      </c>
      <c r="K59" s="80" t="str">
        <f>IF(tblStudents[[#This Row],[Result]]="Fail","F",INDEX(Lists!$J$4:$J$11,MATCH(tblStudents[[#This Row],[Total Marks]],Lists!$I$4:$I$11,1)))</f>
        <v>B+</v>
      </c>
      <c r="L59" s="81">
        <f>IF(tblStudents[[#This Row],[Result]]="Pass",ROUND(MIN(10,tblStudents[[#This Row],[Total Marks]]/p_SgpaDiv),2),0)</f>
        <v>6.84</v>
      </c>
      <c r="M59" s="82">
        <f>IF(COUNTIFS(tblStudents[[#This Row],[Branch]],cSt_B,tblStudents[[#This Row],[Semester]],cSt_S,tblStudents[[#This Row],[Year]],cSt_Y)=1,tblStudents[[#This Row],[Total Marks]]+ROW()/1000000,"")</f>
        <v>65.000059</v>
      </c>
    </row>
    <row r="60">
      <c r="A60" s="79" t="inlineStr">
        <is>
          <t>STU1056</t>
        </is>
      </c>
      <c r="B60" s="79" t="inlineStr">
        <is>
          <t>Divya Dubey</t>
        </is>
      </c>
      <c r="C60" s="80" t="inlineStr">
        <is>
          <t>F</t>
        </is>
      </c>
      <c r="D60" s="80" t="inlineStr">
        <is>
          <t>CSE</t>
        </is>
      </c>
      <c r="E60" s="80" t="n">
        <v>7</v>
      </c>
      <c r="F60" s="80" t="n">
        <v>2023</v>
      </c>
      <c r="G60" s="80" t="n">
        <v>31</v>
      </c>
      <c r="H60" s="80" t="n">
        <v>42</v>
      </c>
      <c r="I60" s="80">
        <f>tblStudents[[#This Row],[Internal Marks]]+tblStudents[[#This Row],[External Marks]]</f>
        <v>73</v>
      </c>
      <c r="J60" s="80" t="str">
        <f>IF(AND(tblStudents[[#This Row],[Total Marks]]&gt;=p_PassTotal,tblStudents[[#This Row],[External Marks]]&gt;=p_PassExt),"Pass","Fail")</f>
        <v>Pass</v>
      </c>
      <c r="K60" s="80" t="str">
        <f>IF(tblStudents[[#This Row],[Result]]="Fail","F",INDEX(Lists!$J$4:$J$11,MATCH(tblStudents[[#This Row],[Total Marks]],Lists!$I$4:$I$11,1)))</f>
        <v>A</v>
      </c>
      <c r="L60" s="81">
        <f>IF(tblStudents[[#This Row],[Result]]="Pass",ROUND(MIN(10,tblStudents[[#This Row],[Total Marks]]/p_SgpaDiv),2),0)</f>
        <v>7.68</v>
      </c>
      <c r="M60" s="82">
        <f>IF(COUNTIFS(tblStudents[[#This Row],[Branch]],cSt_B,tblStudents[[#This Row],[Semester]],cSt_S,tblStudents[[#This Row],[Year]],cSt_Y)=1,tblStudents[[#This Row],[Total Marks]]+ROW()/1000000,"")</f>
        <v>73.00006</v>
      </c>
    </row>
    <row r="61">
      <c r="A61" s="79" t="inlineStr">
        <is>
          <t>STU1057</t>
        </is>
      </c>
      <c r="B61" s="79" t="inlineStr">
        <is>
          <t>Jhanvi Garg</t>
        </is>
      </c>
      <c r="C61" s="80" t="inlineStr">
        <is>
          <t>F</t>
        </is>
      </c>
      <c r="D61" s="80" t="inlineStr">
        <is>
          <t>CSE</t>
        </is>
      </c>
      <c r="E61" s="80" t="n">
        <v>6</v>
      </c>
      <c r="F61" s="80" t="n">
        <v>2026</v>
      </c>
      <c r="G61" s="80" t="n">
        <v>29</v>
      </c>
      <c r="H61" s="80" t="n">
        <v>48</v>
      </c>
      <c r="I61" s="80">
        <f>tblStudents[[#This Row],[Internal Marks]]+tblStudents[[#This Row],[External Marks]]</f>
        <v>77</v>
      </c>
      <c r="J61" s="80" t="str">
        <f>IF(AND(tblStudents[[#This Row],[Total Marks]]&gt;=p_PassTotal,tblStudents[[#This Row],[External Marks]]&gt;=p_PassExt),"Pass","Fail")</f>
        <v>Pass</v>
      </c>
      <c r="K61" s="80" t="str">
        <f>IF(tblStudents[[#This Row],[Result]]="Fail","F",INDEX(Lists!$J$4:$J$11,MATCH(tblStudents[[#This Row],[Total Marks]],Lists!$I$4:$I$11,1)))</f>
        <v>A</v>
      </c>
      <c r="L61" s="81">
        <f>IF(tblStudents[[#This Row],[Result]]="Pass",ROUND(MIN(10,tblStudents[[#This Row],[Total Marks]]/p_SgpaDiv),2),0)</f>
        <v>8.11</v>
      </c>
      <c r="M61" s="82">
        <f>IF(COUNTIFS(tblStudents[[#This Row],[Branch]],cSt_B,tblStudents[[#This Row],[Semester]],cSt_S,tblStudents[[#This Row],[Year]],cSt_Y)=1,tblStudents[[#This Row],[Total Marks]]+ROW()/1000000,"")</f>
        <v>77.000061</v>
      </c>
    </row>
    <row r="62">
      <c r="A62" s="79" t="inlineStr">
        <is>
          <t>STU1058</t>
        </is>
      </c>
      <c r="B62" s="79" t="inlineStr">
        <is>
          <t>Deepak Khan</t>
        </is>
      </c>
      <c r="C62" s="80" t="inlineStr">
        <is>
          <t>M</t>
        </is>
      </c>
      <c r="D62" s="80" t="inlineStr">
        <is>
          <t>ME</t>
        </is>
      </c>
      <c r="E62" s="80" t="n">
        <v>7</v>
      </c>
      <c r="F62" s="80" t="n">
        <v>2023</v>
      </c>
      <c r="G62" s="80" t="n">
        <v>40</v>
      </c>
      <c r="H62" s="80" t="n">
        <v>15</v>
      </c>
      <c r="I62" s="80">
        <f>tblStudents[[#This Row],[Internal Marks]]+tblStudents[[#This Row],[External Marks]]</f>
        <v>55</v>
      </c>
      <c r="J62" s="80" t="str">
        <f>IF(AND(tblStudents[[#This Row],[Total Marks]]&gt;=p_PassTotal,tblStudents[[#This Row],[External Marks]]&gt;=p_PassExt),"Pass","Fail")</f>
        <v>Fail</v>
      </c>
      <c r="K62" s="80" t="str">
        <f>IF(tblStudents[[#This Row],[Result]]="Fail","F",INDEX(Lists!$J$4:$J$11,MATCH(tblStudents[[#This Row],[Total Marks]],Lists!$I$4:$I$11,1)))</f>
        <v>F</v>
      </c>
      <c r="L62" s="81">
        <f>IF(tblStudents[[#This Row],[Result]]="Pass",ROUND(MIN(10,tblStudents[[#This Row],[Total Marks]]/p_SgpaDiv),2),0)</f>
        <v>0</v>
      </c>
      <c r="M62" s="82">
        <f>IF(COUNTIFS(tblStudents[[#This Row],[Branch]],cSt_B,tblStudents[[#This Row],[Semester]],cSt_S,tblStudents[[#This Row],[Year]],cSt_Y)=1,tblStudents[[#This Row],[Total Marks]]+ROW()/1000000,"")</f>
        <v>55.000062</v>
      </c>
    </row>
    <row r="63">
      <c r="A63" s="79" t="inlineStr">
        <is>
          <t>STU1059</t>
        </is>
      </c>
      <c r="B63" s="79" t="inlineStr">
        <is>
          <t>Rajat Chatterjee</t>
        </is>
      </c>
      <c r="C63" s="80" t="inlineStr">
        <is>
          <t>M</t>
        </is>
      </c>
      <c r="D63" s="80" t="inlineStr">
        <is>
          <t>IT</t>
        </is>
      </c>
      <c r="E63" s="80" t="n">
        <v>3</v>
      </c>
      <c r="F63" s="80" t="n">
        <v>2024</v>
      </c>
      <c r="G63" s="80" t="n">
        <v>26</v>
      </c>
      <c r="H63" s="80" t="n">
        <v>49</v>
      </c>
      <c r="I63" s="80">
        <f>tblStudents[[#This Row],[Internal Marks]]+tblStudents[[#This Row],[External Marks]]</f>
        <v>75</v>
      </c>
      <c r="J63" s="80" t="str">
        <f>IF(AND(tblStudents[[#This Row],[Total Marks]]&gt;=p_PassTotal,tblStudents[[#This Row],[External Marks]]&gt;=p_PassExt),"Pass","Fail")</f>
        <v>Pass</v>
      </c>
      <c r="K63" s="80" t="str">
        <f>IF(tblStudents[[#This Row],[Result]]="Fail","F",INDEX(Lists!$J$4:$J$11,MATCH(tblStudents[[#This Row],[Total Marks]],Lists!$I$4:$I$11,1)))</f>
        <v>A</v>
      </c>
      <c r="L63" s="81">
        <f>IF(tblStudents[[#This Row],[Result]]="Pass",ROUND(MIN(10,tblStudents[[#This Row],[Total Marks]]/p_SgpaDiv),2),0)</f>
        <v>7.89</v>
      </c>
      <c r="M63" s="82">
        <f>IF(COUNTIFS(tblStudents[[#This Row],[Branch]],cSt_B,tblStudents[[#This Row],[Semester]],cSt_S,tblStudents[[#This Row],[Year]],cSt_Y)=1,tblStudents[[#This Row],[Total Marks]]+ROW()/1000000,"")</f>
        <v>75.000063</v>
      </c>
    </row>
    <row r="64">
      <c r="A64" s="79" t="inlineStr">
        <is>
          <t>STU1060</t>
        </is>
      </c>
      <c r="B64" s="79" t="inlineStr">
        <is>
          <t>Khushi Iyer</t>
        </is>
      </c>
      <c r="C64" s="80" t="inlineStr">
        <is>
          <t>F</t>
        </is>
      </c>
      <c r="D64" s="80" t="inlineStr">
        <is>
          <t>ME</t>
        </is>
      </c>
      <c r="E64" s="80" t="n">
        <v>4</v>
      </c>
      <c r="F64" s="80" t="n">
        <v>2024</v>
      </c>
      <c r="G64" s="80" t="n">
        <v>20</v>
      </c>
      <c r="H64" s="80" t="n">
        <v>27</v>
      </c>
      <c r="I64" s="80">
        <f>tblStudents[[#This Row],[Internal Marks]]+tblStudents[[#This Row],[External Marks]]</f>
        <v>47</v>
      </c>
      <c r="J64" s="80" t="str">
        <f>IF(AND(tblStudents[[#This Row],[Total Marks]]&gt;=p_PassTotal,tblStudents[[#This Row],[External Marks]]&gt;=p_PassExt),"Pass","Fail")</f>
        <v>Pass</v>
      </c>
      <c r="K64" s="80" t="str">
        <f>IF(tblStudents[[#This Row],[Result]]="Fail","F",INDEX(Lists!$J$4:$J$11,MATCH(tblStudents[[#This Row],[Total Marks]],Lists!$I$4:$I$11,1)))</f>
        <v>C</v>
      </c>
      <c r="L64" s="81">
        <f>IF(tblStudents[[#This Row],[Result]]="Pass",ROUND(MIN(10,tblStudents[[#This Row],[Total Marks]]/p_SgpaDiv),2),0)</f>
        <v>4.95</v>
      </c>
      <c r="M64" s="82">
        <f>IF(COUNTIFS(tblStudents[[#This Row],[Branch]],cSt_B,tblStudents[[#This Row],[Semester]],cSt_S,tblStudents[[#This Row],[Year]],cSt_Y)=1,tblStudents[[#This Row],[Total Marks]]+ROW()/1000000,"")</f>
        <v>47.000064</v>
      </c>
    </row>
    <row r="65">
      <c r="A65" s="79" t="inlineStr">
        <is>
          <t>STU1061</t>
        </is>
      </c>
      <c r="B65" s="79" t="inlineStr">
        <is>
          <t>Siddharth Thakur</t>
        </is>
      </c>
      <c r="C65" s="80" t="inlineStr">
        <is>
          <t>M</t>
        </is>
      </c>
      <c r="D65" s="80" t="inlineStr">
        <is>
          <t>CSE</t>
        </is>
      </c>
      <c r="E65" s="80" t="n">
        <v>1</v>
      </c>
      <c r="F65" s="80" t="n">
        <v>2025</v>
      </c>
      <c r="G65" s="80" t="n">
        <v>23</v>
      </c>
      <c r="H65" s="80" t="n">
        <v>51</v>
      </c>
      <c r="I65" s="80">
        <f>tblStudents[[#This Row],[Internal Marks]]+tblStudents[[#This Row],[External Marks]]</f>
        <v>74</v>
      </c>
      <c r="J65" s="80" t="str">
        <f>IF(AND(tblStudents[[#This Row],[Total Marks]]&gt;=p_PassTotal,tblStudents[[#This Row],[External Marks]]&gt;=p_PassExt),"Pass","Fail")</f>
        <v>Pass</v>
      </c>
      <c r="K65" s="80" t="str">
        <f>IF(tblStudents[[#This Row],[Result]]="Fail","F",INDEX(Lists!$J$4:$J$11,MATCH(tblStudents[[#This Row],[Total Marks]],Lists!$I$4:$I$11,1)))</f>
        <v>A</v>
      </c>
      <c r="L65" s="81">
        <f>IF(tblStudents[[#This Row],[Result]]="Pass",ROUND(MIN(10,tblStudents[[#This Row],[Total Marks]]/p_SgpaDiv),2),0)</f>
        <v>7.79</v>
      </c>
      <c r="M65" s="82">
        <f>IF(COUNTIFS(tblStudents[[#This Row],[Branch]],cSt_B,tblStudents[[#This Row],[Semester]],cSt_S,tblStudents[[#This Row],[Year]],cSt_Y)=1,tblStudents[[#This Row],[Total Marks]]+ROW()/1000000,"")</f>
        <v>74.000065</v>
      </c>
    </row>
    <row r="66">
      <c r="A66" s="79" t="inlineStr">
        <is>
          <t>STU1062</t>
        </is>
      </c>
      <c r="B66" s="79" t="inlineStr">
        <is>
          <t>Riya Shah</t>
        </is>
      </c>
      <c r="C66" s="80" t="inlineStr">
        <is>
          <t>F</t>
        </is>
      </c>
      <c r="D66" s="80" t="inlineStr">
        <is>
          <t>CSE</t>
        </is>
      </c>
      <c r="E66" s="80" t="n">
        <v>1</v>
      </c>
      <c r="F66" s="80" t="n">
        <v>2024</v>
      </c>
      <c r="G66" s="80" t="n">
        <v>29</v>
      </c>
      <c r="H66" s="80" t="n">
        <v>44</v>
      </c>
      <c r="I66" s="80">
        <f>tblStudents[[#This Row],[Internal Marks]]+tblStudents[[#This Row],[External Marks]]</f>
        <v>73</v>
      </c>
      <c r="J66" s="80" t="str">
        <f>IF(AND(tblStudents[[#This Row],[Total Marks]]&gt;=p_PassTotal,tblStudents[[#This Row],[External Marks]]&gt;=p_PassExt),"Pass","Fail")</f>
        <v>Pass</v>
      </c>
      <c r="K66" s="80" t="str">
        <f>IF(tblStudents[[#This Row],[Result]]="Fail","F",INDEX(Lists!$J$4:$J$11,MATCH(tblStudents[[#This Row],[Total Marks]],Lists!$I$4:$I$11,1)))</f>
        <v>A</v>
      </c>
      <c r="L66" s="81">
        <f>IF(tblStudents[[#This Row],[Result]]="Pass",ROUND(MIN(10,tblStudents[[#This Row],[Total Marks]]/p_SgpaDiv),2),0)</f>
        <v>7.68</v>
      </c>
      <c r="M66" s="82">
        <f>IF(COUNTIFS(tblStudents[[#This Row],[Branch]],cSt_B,tblStudents[[#This Row],[Semester]],cSt_S,tblStudents[[#This Row],[Year]],cSt_Y)=1,tblStudents[[#This Row],[Total Marks]]+ROW()/1000000,"")</f>
        <v>73.000066</v>
      </c>
    </row>
    <row r="67">
      <c r="A67" s="79" t="inlineStr">
        <is>
          <t>STU1063</t>
        </is>
      </c>
      <c r="B67" s="79" t="inlineStr">
        <is>
          <t>Mohit Rastogi</t>
        </is>
      </c>
      <c r="C67" s="80" t="inlineStr">
        <is>
          <t>M</t>
        </is>
      </c>
      <c r="D67" s="80" t="inlineStr">
        <is>
          <t>ME</t>
        </is>
      </c>
      <c r="E67" s="80" t="n">
        <v>2</v>
      </c>
      <c r="F67" s="80" t="n">
        <v>2026</v>
      </c>
      <c r="G67" s="80" t="n">
        <v>22</v>
      </c>
      <c r="H67" s="80" t="n">
        <v>39</v>
      </c>
      <c r="I67" s="80">
        <f>tblStudents[[#This Row],[Internal Marks]]+tblStudents[[#This Row],[External Marks]]</f>
        <v>61</v>
      </c>
      <c r="J67" s="80" t="str">
        <f>IF(AND(tblStudents[[#This Row],[Total Marks]]&gt;=p_PassTotal,tblStudents[[#This Row],[External Marks]]&gt;=p_PassExt),"Pass","Fail")</f>
        <v>Pass</v>
      </c>
      <c r="K67" s="80" t="str">
        <f>IF(tblStudents[[#This Row],[Result]]="Fail","F",INDEX(Lists!$J$4:$J$11,MATCH(tblStudents[[#This Row],[Total Marks]],Lists!$I$4:$I$11,1)))</f>
        <v>B+</v>
      </c>
      <c r="L67" s="81">
        <f>IF(tblStudents[[#This Row],[Result]]="Pass",ROUND(MIN(10,tblStudents[[#This Row],[Total Marks]]/p_SgpaDiv),2),0)</f>
        <v>6.42</v>
      </c>
      <c r="M67" s="82">
        <f>IF(COUNTIFS(tblStudents[[#This Row],[Branch]],cSt_B,tblStudents[[#This Row],[Semester]],cSt_S,tblStudents[[#This Row],[Year]],cSt_Y)=1,tblStudents[[#This Row],[Total Marks]]+ROW()/1000000,"")</f>
        <v>61.000067</v>
      </c>
    </row>
    <row r="68">
      <c r="A68" s="79" t="inlineStr">
        <is>
          <t>STU1064</t>
        </is>
      </c>
      <c r="B68" s="79" t="inlineStr">
        <is>
          <t>Ananya Singh</t>
        </is>
      </c>
      <c r="C68" s="80" t="inlineStr">
        <is>
          <t>F</t>
        </is>
      </c>
      <c r="D68" s="80" t="inlineStr">
        <is>
          <t>CSE</t>
        </is>
      </c>
      <c r="E68" s="80" t="n">
        <v>5</v>
      </c>
      <c r="F68" s="80" t="n">
        <v>2025</v>
      </c>
      <c r="G68" s="80" t="n">
        <v>27</v>
      </c>
      <c r="H68" s="80" t="n">
        <v>38</v>
      </c>
      <c r="I68" s="80">
        <f>tblStudents[[#This Row],[Internal Marks]]+tblStudents[[#This Row],[External Marks]]</f>
        <v>65</v>
      </c>
      <c r="J68" s="80" t="str">
        <f>IF(AND(tblStudents[[#This Row],[Total Marks]]&gt;=p_PassTotal,tblStudents[[#This Row],[External Marks]]&gt;=p_PassExt),"Pass","Fail")</f>
        <v>Pass</v>
      </c>
      <c r="K68" s="80" t="str">
        <f>IF(tblStudents[[#This Row],[Result]]="Fail","F",INDEX(Lists!$J$4:$J$11,MATCH(tblStudents[[#This Row],[Total Marks]],Lists!$I$4:$I$11,1)))</f>
        <v>B+</v>
      </c>
      <c r="L68" s="81">
        <f>IF(tblStudents[[#This Row],[Result]]="Pass",ROUND(MIN(10,tblStudents[[#This Row],[Total Marks]]/p_SgpaDiv),2),0)</f>
        <v>6.84</v>
      </c>
      <c r="M68" s="82">
        <f>IF(COUNTIFS(tblStudents[[#This Row],[Branch]],cSt_B,tblStudents[[#This Row],[Semester]],cSt_S,tblStudents[[#This Row],[Year]],cSt_Y)=1,tblStudents[[#This Row],[Total Marks]]+ROW()/1000000,"")</f>
        <v>65.000068</v>
      </c>
    </row>
    <row r="69">
      <c r="A69" s="79" t="inlineStr">
        <is>
          <t>STU1065</t>
        </is>
      </c>
      <c r="B69" s="79" t="inlineStr">
        <is>
          <t>Rajat Patel</t>
        </is>
      </c>
      <c r="C69" s="80" t="inlineStr">
        <is>
          <t>M</t>
        </is>
      </c>
      <c r="D69" s="80" t="inlineStr">
        <is>
          <t>CSE</t>
        </is>
      </c>
      <c r="E69" s="80" t="n">
        <v>3</v>
      </c>
      <c r="F69" s="80" t="n">
        <v>2024</v>
      </c>
      <c r="G69" s="80" t="n">
        <v>37</v>
      </c>
      <c r="H69" s="80" t="n">
        <v>48</v>
      </c>
      <c r="I69" s="80">
        <f>tblStudents[[#This Row],[Internal Marks]]+tblStudents[[#This Row],[External Marks]]</f>
        <v>85</v>
      </c>
      <c r="J69" s="80" t="str">
        <f>IF(AND(tblStudents[[#This Row],[Total Marks]]&gt;=p_PassTotal,tblStudents[[#This Row],[External Marks]]&gt;=p_PassExt),"Pass","Fail")</f>
        <v>Pass</v>
      </c>
      <c r="K69" s="80" t="str">
        <f>IF(tblStudents[[#This Row],[Result]]="Fail","F",INDEX(Lists!$J$4:$J$11,MATCH(tblStudents[[#This Row],[Total Marks]],Lists!$I$4:$I$11,1)))</f>
        <v>A+</v>
      </c>
      <c r="L69" s="81">
        <f>IF(tblStudents[[#This Row],[Result]]="Pass",ROUND(MIN(10,tblStudents[[#This Row],[Total Marks]]/p_SgpaDiv),2),0)</f>
        <v>8.95</v>
      </c>
      <c r="M69" s="82">
        <f>IF(COUNTIFS(tblStudents[[#This Row],[Branch]],cSt_B,tblStudents[[#This Row],[Semester]],cSt_S,tblStudents[[#This Row],[Year]],cSt_Y)=1,tblStudents[[#This Row],[Total Marks]]+ROW()/1000000,"")</f>
        <v>85.000069</v>
      </c>
    </row>
    <row r="70">
      <c r="A70" s="79" t="inlineStr">
        <is>
          <t>STU1066</t>
        </is>
      </c>
      <c r="B70" s="79" t="inlineStr">
        <is>
          <t>Ritika Shah</t>
        </is>
      </c>
      <c r="C70" s="80" t="inlineStr">
        <is>
          <t>F</t>
        </is>
      </c>
      <c r="D70" s="80" t="inlineStr">
        <is>
          <t>IT</t>
        </is>
      </c>
      <c r="E70" s="80" t="n">
        <v>4</v>
      </c>
      <c r="F70" s="80" t="n">
        <v>2025</v>
      </c>
      <c r="G70" s="80" t="n">
        <v>27</v>
      </c>
      <c r="H70" s="80" t="n">
        <v>42</v>
      </c>
      <c r="I70" s="80">
        <f>tblStudents[[#This Row],[Internal Marks]]+tblStudents[[#This Row],[External Marks]]</f>
        <v>69</v>
      </c>
      <c r="J70" s="80" t="str">
        <f>IF(AND(tblStudents[[#This Row],[Total Marks]]&gt;=p_PassTotal,tblStudents[[#This Row],[External Marks]]&gt;=p_PassExt),"Pass","Fail")</f>
        <v>Pass</v>
      </c>
      <c r="K70" s="80" t="str">
        <f>IF(tblStudents[[#This Row],[Result]]="Fail","F",INDEX(Lists!$J$4:$J$11,MATCH(tblStudents[[#This Row],[Total Marks]],Lists!$I$4:$I$11,1)))</f>
        <v>B+</v>
      </c>
      <c r="L70" s="81">
        <f>IF(tblStudents[[#This Row],[Result]]="Pass",ROUND(MIN(10,tblStudents[[#This Row],[Total Marks]]/p_SgpaDiv),2),0)</f>
        <v>7.26</v>
      </c>
      <c r="M70" s="82">
        <f>IF(COUNTIFS(tblStudents[[#This Row],[Branch]],cSt_B,tblStudents[[#This Row],[Semester]],cSt_S,tblStudents[[#This Row],[Year]],cSt_Y)=1,tblStudents[[#This Row],[Total Marks]]+ROW()/1000000,"")</f>
        <v>69.00007</v>
      </c>
    </row>
    <row r="71">
      <c r="A71" s="79" t="inlineStr">
        <is>
          <t>STU1067</t>
        </is>
      </c>
      <c r="B71" s="79" t="inlineStr">
        <is>
          <t>Pooja Srivastava</t>
        </is>
      </c>
      <c r="C71" s="80" t="inlineStr">
        <is>
          <t>F</t>
        </is>
      </c>
      <c r="D71" s="80" t="inlineStr">
        <is>
          <t>CE</t>
        </is>
      </c>
      <c r="E71" s="80" t="n">
        <v>2</v>
      </c>
      <c r="F71" s="80" t="n">
        <v>2023</v>
      </c>
      <c r="G71" s="80" t="n">
        <v>26</v>
      </c>
      <c r="H71" s="80" t="n">
        <v>30</v>
      </c>
      <c r="I71" s="80">
        <f>tblStudents[[#This Row],[Internal Marks]]+tblStudents[[#This Row],[External Marks]]</f>
        <v>56</v>
      </c>
      <c r="J71" s="80" t="str">
        <f>IF(AND(tblStudents[[#This Row],[Total Marks]]&gt;=p_PassTotal,tblStudents[[#This Row],[External Marks]]&gt;=p_PassExt),"Pass","Fail")</f>
        <v>Pass</v>
      </c>
      <c r="K71" s="80" t="str">
        <f>IF(tblStudents[[#This Row],[Result]]="Fail","F",INDEX(Lists!$J$4:$J$11,MATCH(tblStudents[[#This Row],[Total Marks]],Lists!$I$4:$I$11,1)))</f>
        <v>B</v>
      </c>
      <c r="L71" s="81">
        <f>IF(tblStudents[[#This Row],[Result]]="Pass",ROUND(MIN(10,tblStudents[[#This Row],[Total Marks]]/p_SgpaDiv),2),0)</f>
        <v>5.89</v>
      </c>
      <c r="M71" s="82">
        <f>IF(COUNTIFS(tblStudents[[#This Row],[Branch]],cSt_B,tblStudents[[#This Row],[Semester]],cSt_S,tblStudents[[#This Row],[Year]],cSt_Y)=1,tblStudents[[#This Row],[Total Marks]]+ROW()/1000000,"")</f>
        <v>56.000071</v>
      </c>
    </row>
    <row r="72">
      <c r="A72" s="79" t="inlineStr">
        <is>
          <t>STU1068</t>
        </is>
      </c>
      <c r="B72" s="79" t="inlineStr">
        <is>
          <t>Swati Patel</t>
        </is>
      </c>
      <c r="C72" s="80" t="inlineStr">
        <is>
          <t>F</t>
        </is>
      </c>
      <c r="D72" s="80" t="inlineStr">
        <is>
          <t>CSE</t>
        </is>
      </c>
      <c r="E72" s="80" t="n">
        <v>3</v>
      </c>
      <c r="F72" s="80" t="n">
        <v>2025</v>
      </c>
      <c r="G72" s="80" t="n">
        <v>26</v>
      </c>
      <c r="H72" s="80" t="n">
        <v>20</v>
      </c>
      <c r="I72" s="80">
        <f>tblStudents[[#This Row],[Internal Marks]]+tblStudents[[#This Row],[External Marks]]</f>
        <v>46</v>
      </c>
      <c r="J72" s="80" t="str">
        <f>IF(AND(tblStudents[[#This Row],[Total Marks]]&gt;=p_PassTotal,tblStudents[[#This Row],[External Marks]]&gt;=p_PassExt),"Pass","Fail")</f>
        <v>Fail</v>
      </c>
      <c r="K72" s="80" t="str">
        <f>IF(tblStudents[[#This Row],[Result]]="Fail","F",INDEX(Lists!$J$4:$J$11,MATCH(tblStudents[[#This Row],[Total Marks]],Lists!$I$4:$I$11,1)))</f>
        <v>F</v>
      </c>
      <c r="L72" s="81">
        <f>IF(tblStudents[[#This Row],[Result]]="Pass",ROUND(MIN(10,tblStudents[[#This Row],[Total Marks]]/p_SgpaDiv),2),0)</f>
        <v>0</v>
      </c>
      <c r="M72" s="82">
        <f>IF(COUNTIFS(tblStudents[[#This Row],[Branch]],cSt_B,tblStudents[[#This Row],[Semester]],cSt_S,tblStudents[[#This Row],[Year]],cSt_Y)=1,tblStudents[[#This Row],[Total Marks]]+ROW()/1000000,"")</f>
        <v>46.000072</v>
      </c>
    </row>
    <row r="73">
      <c r="A73" s="79" t="inlineStr">
        <is>
          <t>STU1069</t>
        </is>
      </c>
      <c r="B73" s="79" t="inlineStr">
        <is>
          <t>Simran Rawat</t>
        </is>
      </c>
      <c r="C73" s="80" t="inlineStr">
        <is>
          <t>F</t>
        </is>
      </c>
      <c r="D73" s="80" t="inlineStr">
        <is>
          <t>ME</t>
        </is>
      </c>
      <c r="E73" s="80" t="n">
        <v>3</v>
      </c>
      <c r="F73" s="80" t="n">
        <v>2023</v>
      </c>
      <c r="G73" s="80" t="n">
        <v>24</v>
      </c>
      <c r="H73" s="80" t="n">
        <v>49</v>
      </c>
      <c r="I73" s="80">
        <f>tblStudents[[#This Row],[Internal Marks]]+tblStudents[[#This Row],[External Marks]]</f>
        <v>73</v>
      </c>
      <c r="J73" s="80" t="str">
        <f>IF(AND(tblStudents[[#This Row],[Total Marks]]&gt;=p_PassTotal,tblStudents[[#This Row],[External Marks]]&gt;=p_PassExt),"Pass","Fail")</f>
        <v>Pass</v>
      </c>
      <c r="K73" s="80" t="str">
        <f>IF(tblStudents[[#This Row],[Result]]="Fail","F",INDEX(Lists!$J$4:$J$11,MATCH(tblStudents[[#This Row],[Total Marks]],Lists!$I$4:$I$11,1)))</f>
        <v>A</v>
      </c>
      <c r="L73" s="81">
        <f>IF(tblStudents[[#This Row],[Result]]="Pass",ROUND(MIN(10,tblStudents[[#This Row],[Total Marks]]/p_SgpaDiv),2),0)</f>
        <v>7.68</v>
      </c>
      <c r="M73" s="82">
        <f>IF(COUNTIFS(tblStudents[[#This Row],[Branch]],cSt_B,tblStudents[[#This Row],[Semester]],cSt_S,tblStudents[[#This Row],[Year]],cSt_Y)=1,tblStudents[[#This Row],[Total Marks]]+ROW()/1000000,"")</f>
        <v>73.000073</v>
      </c>
    </row>
    <row r="74">
      <c r="A74" s="79" t="inlineStr">
        <is>
          <t>STU1070</t>
        </is>
      </c>
      <c r="B74" s="79" t="inlineStr">
        <is>
          <t>Sumit Kapoor</t>
        </is>
      </c>
      <c r="C74" s="80" t="inlineStr">
        <is>
          <t>M</t>
        </is>
      </c>
      <c r="D74" s="80" t="inlineStr">
        <is>
          <t>CE</t>
        </is>
      </c>
      <c r="E74" s="80" t="n">
        <v>2</v>
      </c>
      <c r="F74" s="80" t="n">
        <v>2026</v>
      </c>
      <c r="G74" s="80" t="n">
        <v>22</v>
      </c>
      <c r="H74" s="80" t="n">
        <v>38</v>
      </c>
      <c r="I74" s="80">
        <f>tblStudents[[#This Row],[Internal Marks]]+tblStudents[[#This Row],[External Marks]]</f>
        <v>60</v>
      </c>
      <c r="J74" s="80" t="str">
        <f>IF(AND(tblStudents[[#This Row],[Total Marks]]&gt;=p_PassTotal,tblStudents[[#This Row],[External Marks]]&gt;=p_PassExt),"Pass","Fail")</f>
        <v>Pass</v>
      </c>
      <c r="K74" s="80" t="str">
        <f>IF(tblStudents[[#This Row],[Result]]="Fail","F",INDEX(Lists!$J$4:$J$11,MATCH(tblStudents[[#This Row],[Total Marks]],Lists!$I$4:$I$11,1)))</f>
        <v>B+</v>
      </c>
      <c r="L74" s="81">
        <f>IF(tblStudents[[#This Row],[Result]]="Pass",ROUND(MIN(10,tblStudents[[#This Row],[Total Marks]]/p_SgpaDiv),2),0)</f>
        <v>6.32</v>
      </c>
      <c r="M74" s="82">
        <f>IF(COUNTIFS(tblStudents[[#This Row],[Branch]],cSt_B,tblStudents[[#This Row],[Semester]],cSt_S,tblStudents[[#This Row],[Year]],cSt_Y)=1,tblStudents[[#This Row],[Total Marks]]+ROW()/1000000,"")</f>
        <v>60.000074</v>
      </c>
    </row>
    <row r="75">
      <c r="A75" s="79" t="inlineStr">
        <is>
          <t>STU1071</t>
        </is>
      </c>
      <c r="B75" s="79" t="inlineStr">
        <is>
          <t>Gaurav Mittal</t>
        </is>
      </c>
      <c r="C75" s="80" t="inlineStr">
        <is>
          <t>M</t>
        </is>
      </c>
      <c r="D75" s="80" t="inlineStr">
        <is>
          <t>CSE</t>
        </is>
      </c>
      <c r="E75" s="80" t="n">
        <v>1</v>
      </c>
      <c r="F75" s="80" t="n">
        <v>2023</v>
      </c>
      <c r="G75" s="80" t="n">
        <v>24</v>
      </c>
      <c r="H75" s="80" t="n">
        <v>44</v>
      </c>
      <c r="I75" s="80">
        <f>tblStudents[[#This Row],[Internal Marks]]+tblStudents[[#This Row],[External Marks]]</f>
        <v>68</v>
      </c>
      <c r="J75" s="80" t="str">
        <f>IF(AND(tblStudents[[#This Row],[Total Marks]]&gt;=p_PassTotal,tblStudents[[#This Row],[External Marks]]&gt;=p_PassExt),"Pass","Fail")</f>
        <v>Pass</v>
      </c>
      <c r="K75" s="80" t="str">
        <f>IF(tblStudents[[#This Row],[Result]]="Fail","F",INDEX(Lists!$J$4:$J$11,MATCH(tblStudents[[#This Row],[Total Marks]],Lists!$I$4:$I$11,1)))</f>
        <v>B+</v>
      </c>
      <c r="L75" s="81">
        <f>IF(tblStudents[[#This Row],[Result]]="Pass",ROUND(MIN(10,tblStudents[[#This Row],[Total Marks]]/p_SgpaDiv),2),0)</f>
        <v>7.16</v>
      </c>
      <c r="M75" s="82">
        <f>IF(COUNTIFS(tblStudents[[#This Row],[Branch]],cSt_B,tblStudents[[#This Row],[Semester]],cSt_S,tblStudents[[#This Row],[Year]],cSt_Y)=1,tblStudents[[#This Row],[Total Marks]]+ROW()/1000000,"")</f>
        <v>68.000075</v>
      </c>
    </row>
    <row r="76">
      <c r="A76" s="79" t="inlineStr">
        <is>
          <t>STU1072</t>
        </is>
      </c>
      <c r="B76" s="79" t="inlineStr">
        <is>
          <t>Jhanvi Ansari</t>
        </is>
      </c>
      <c r="C76" s="80" t="inlineStr">
        <is>
          <t>F</t>
        </is>
      </c>
      <c r="D76" s="80" t="inlineStr">
        <is>
          <t>CSE</t>
        </is>
      </c>
      <c r="E76" s="80" t="n">
        <v>6</v>
      </c>
      <c r="F76" s="80" t="n">
        <v>2024</v>
      </c>
      <c r="G76" s="80" t="n">
        <v>35</v>
      </c>
      <c r="H76" s="80" t="n">
        <v>54</v>
      </c>
      <c r="I76" s="80">
        <f>tblStudents[[#This Row],[Internal Marks]]+tblStudents[[#This Row],[External Marks]]</f>
        <v>89</v>
      </c>
      <c r="J76" s="80" t="str">
        <f>IF(AND(tblStudents[[#This Row],[Total Marks]]&gt;=p_PassTotal,tblStudents[[#This Row],[External Marks]]&gt;=p_PassExt),"Pass","Fail")</f>
        <v>Pass</v>
      </c>
      <c r="K76" s="80" t="str">
        <f>IF(tblStudents[[#This Row],[Result]]="Fail","F",INDEX(Lists!$J$4:$J$11,MATCH(tblStudents[[#This Row],[Total Marks]],Lists!$I$4:$I$11,1)))</f>
        <v>A+</v>
      </c>
      <c r="L76" s="81">
        <f>IF(tblStudents[[#This Row],[Result]]="Pass",ROUND(MIN(10,tblStudents[[#This Row],[Total Marks]]/p_SgpaDiv),2),0)</f>
        <v>9.37</v>
      </c>
      <c r="M76" s="82">
        <f>IF(COUNTIFS(tblStudents[[#This Row],[Branch]],cSt_B,tblStudents[[#This Row],[Semester]],cSt_S,tblStudents[[#This Row],[Year]],cSt_Y)=1,tblStudents[[#This Row],[Total Marks]]+ROW()/1000000,"")</f>
        <v>89.000076</v>
      </c>
    </row>
    <row r="77">
      <c r="A77" s="79" t="inlineStr">
        <is>
          <t>STU1073</t>
        </is>
      </c>
      <c r="B77" s="79" t="inlineStr">
        <is>
          <t>Diya Gupta</t>
        </is>
      </c>
      <c r="C77" s="80" t="inlineStr">
        <is>
          <t>F</t>
        </is>
      </c>
      <c r="D77" s="80" t="inlineStr">
        <is>
          <t>CE</t>
        </is>
      </c>
      <c r="E77" s="80" t="n">
        <v>2</v>
      </c>
      <c r="F77" s="80" t="n">
        <v>2023</v>
      </c>
      <c r="G77" s="80" t="n">
        <v>19</v>
      </c>
      <c r="H77" s="80" t="n">
        <v>35</v>
      </c>
      <c r="I77" s="80">
        <f>tblStudents[[#This Row],[Internal Marks]]+tblStudents[[#This Row],[External Marks]]</f>
        <v>54</v>
      </c>
      <c r="J77" s="80" t="str">
        <f>IF(AND(tblStudents[[#This Row],[Total Marks]]&gt;=p_PassTotal,tblStudents[[#This Row],[External Marks]]&gt;=p_PassExt),"Pass","Fail")</f>
        <v>Pass</v>
      </c>
      <c r="K77" s="80" t="str">
        <f>IF(tblStudents[[#This Row],[Result]]="Fail","F",INDEX(Lists!$J$4:$J$11,MATCH(tblStudents[[#This Row],[Total Marks]],Lists!$I$4:$I$11,1)))</f>
        <v>B</v>
      </c>
      <c r="L77" s="81">
        <f>IF(tblStudents[[#This Row],[Result]]="Pass",ROUND(MIN(10,tblStudents[[#This Row],[Total Marks]]/p_SgpaDiv),2),0)</f>
        <v>5.68</v>
      </c>
      <c r="M77" s="82">
        <f>IF(COUNTIFS(tblStudents[[#This Row],[Branch]],cSt_B,tblStudents[[#This Row],[Semester]],cSt_S,tblStudents[[#This Row],[Year]],cSt_Y)=1,tblStudents[[#This Row],[Total Marks]]+ROW()/1000000,"")</f>
        <v>54.000077</v>
      </c>
    </row>
    <row r="78">
      <c r="A78" s="79" t="inlineStr">
        <is>
          <t>STU1074</t>
        </is>
      </c>
      <c r="B78" s="79" t="inlineStr">
        <is>
          <t>Shubham Shah</t>
        </is>
      </c>
      <c r="C78" s="80" t="inlineStr">
        <is>
          <t>M</t>
        </is>
      </c>
      <c r="D78" s="80" t="inlineStr">
        <is>
          <t>CE</t>
        </is>
      </c>
      <c r="E78" s="80" t="n">
        <v>7</v>
      </c>
      <c r="F78" s="80" t="n">
        <v>2024</v>
      </c>
      <c r="G78" s="80" t="n">
        <v>22</v>
      </c>
      <c r="H78" s="80" t="n">
        <v>42</v>
      </c>
      <c r="I78" s="80">
        <f>tblStudents[[#This Row],[Internal Marks]]+tblStudents[[#This Row],[External Marks]]</f>
        <v>64</v>
      </c>
      <c r="J78" s="80" t="str">
        <f>IF(AND(tblStudents[[#This Row],[Total Marks]]&gt;=p_PassTotal,tblStudents[[#This Row],[External Marks]]&gt;=p_PassExt),"Pass","Fail")</f>
        <v>Pass</v>
      </c>
      <c r="K78" s="80" t="str">
        <f>IF(tblStudents[[#This Row],[Result]]="Fail","F",INDEX(Lists!$J$4:$J$11,MATCH(tblStudents[[#This Row],[Total Marks]],Lists!$I$4:$I$11,1)))</f>
        <v>B+</v>
      </c>
      <c r="L78" s="81">
        <f>IF(tblStudents[[#This Row],[Result]]="Pass",ROUND(MIN(10,tblStudents[[#This Row],[Total Marks]]/p_SgpaDiv),2),0)</f>
        <v>6.74</v>
      </c>
      <c r="M78" s="82">
        <f>IF(COUNTIFS(tblStudents[[#This Row],[Branch]],cSt_B,tblStudents[[#This Row],[Semester]],cSt_S,tblStudents[[#This Row],[Year]],cSt_Y)=1,tblStudents[[#This Row],[Total Marks]]+ROW()/1000000,"")</f>
        <v>64.000078</v>
      </c>
    </row>
    <row r="79">
      <c r="A79" s="79" t="inlineStr">
        <is>
          <t>STU1075</t>
        </is>
      </c>
      <c r="B79" s="79" t="inlineStr">
        <is>
          <t>Nandini Chaudhary</t>
        </is>
      </c>
      <c r="C79" s="80" t="inlineStr">
        <is>
          <t>F</t>
        </is>
      </c>
      <c r="D79" s="80" t="inlineStr">
        <is>
          <t>CSE</t>
        </is>
      </c>
      <c r="E79" s="80" t="n">
        <v>4</v>
      </c>
      <c r="F79" s="80" t="n">
        <v>2023</v>
      </c>
      <c r="G79" s="80" t="n">
        <v>22</v>
      </c>
      <c r="H79" s="80" t="n">
        <v>34</v>
      </c>
      <c r="I79" s="80">
        <f>tblStudents[[#This Row],[Internal Marks]]+tblStudents[[#This Row],[External Marks]]</f>
        <v>56</v>
      </c>
      <c r="J79" s="80" t="str">
        <f>IF(AND(tblStudents[[#This Row],[Total Marks]]&gt;=p_PassTotal,tblStudents[[#This Row],[External Marks]]&gt;=p_PassExt),"Pass","Fail")</f>
        <v>Pass</v>
      </c>
      <c r="K79" s="80" t="str">
        <f>IF(tblStudents[[#This Row],[Result]]="Fail","F",INDEX(Lists!$J$4:$J$11,MATCH(tblStudents[[#This Row],[Total Marks]],Lists!$I$4:$I$11,1)))</f>
        <v>B</v>
      </c>
      <c r="L79" s="81">
        <f>IF(tblStudents[[#This Row],[Result]]="Pass",ROUND(MIN(10,tblStudents[[#This Row],[Total Marks]]/p_SgpaDiv),2),0)</f>
        <v>5.89</v>
      </c>
      <c r="M79" s="82">
        <f>IF(COUNTIFS(tblStudents[[#This Row],[Branch]],cSt_B,tblStudents[[#This Row],[Semester]],cSt_S,tblStudents[[#This Row],[Year]],cSt_Y)=1,tblStudents[[#This Row],[Total Marks]]+ROW()/1000000,"")</f>
        <v>56.000079</v>
      </c>
    </row>
    <row r="80">
      <c r="A80" s="79" t="inlineStr">
        <is>
          <t>STU1076</t>
        </is>
      </c>
      <c r="B80" s="79" t="inlineStr">
        <is>
          <t>Priya Khan</t>
        </is>
      </c>
      <c r="C80" s="80" t="inlineStr">
        <is>
          <t>F</t>
        </is>
      </c>
      <c r="D80" s="80" t="inlineStr">
        <is>
          <t>ECE</t>
        </is>
      </c>
      <c r="E80" s="80" t="n">
        <v>3</v>
      </c>
      <c r="F80" s="80" t="n">
        <v>2025</v>
      </c>
      <c r="G80" s="80" t="n">
        <v>27</v>
      </c>
      <c r="H80" s="80" t="n">
        <v>48</v>
      </c>
      <c r="I80" s="80">
        <f>tblStudents[[#This Row],[Internal Marks]]+tblStudents[[#This Row],[External Marks]]</f>
        <v>75</v>
      </c>
      <c r="J80" s="80" t="str">
        <f>IF(AND(tblStudents[[#This Row],[Total Marks]]&gt;=p_PassTotal,tblStudents[[#This Row],[External Marks]]&gt;=p_PassExt),"Pass","Fail")</f>
        <v>Pass</v>
      </c>
      <c r="K80" s="80" t="str">
        <f>IF(tblStudents[[#This Row],[Result]]="Fail","F",INDEX(Lists!$J$4:$J$11,MATCH(tblStudents[[#This Row],[Total Marks]],Lists!$I$4:$I$11,1)))</f>
        <v>A</v>
      </c>
      <c r="L80" s="81">
        <f>IF(tblStudents[[#This Row],[Result]]="Pass",ROUND(MIN(10,tblStudents[[#This Row],[Total Marks]]/p_SgpaDiv),2),0)</f>
        <v>7.89</v>
      </c>
      <c r="M80" s="82">
        <f>IF(COUNTIFS(tblStudents[[#This Row],[Branch]],cSt_B,tblStudents[[#This Row],[Semester]],cSt_S,tblStudents[[#This Row],[Year]],cSt_Y)=1,tblStudents[[#This Row],[Total Marks]]+ROW()/1000000,"")</f>
        <v>75.00008</v>
      </c>
    </row>
    <row r="81">
      <c r="A81" s="79" t="inlineStr">
        <is>
          <t>STU1077</t>
        </is>
      </c>
      <c r="B81" s="79" t="inlineStr">
        <is>
          <t>Diya Rawat</t>
        </is>
      </c>
      <c r="C81" s="80" t="inlineStr">
        <is>
          <t>F</t>
        </is>
      </c>
      <c r="D81" s="80" t="inlineStr">
        <is>
          <t>ME</t>
        </is>
      </c>
      <c r="E81" s="80" t="n">
        <v>3</v>
      </c>
      <c r="F81" s="80" t="n">
        <v>2023</v>
      </c>
      <c r="G81" s="80" t="n">
        <v>18</v>
      </c>
      <c r="H81" s="80" t="n">
        <v>20</v>
      </c>
      <c r="I81" s="80">
        <f>tblStudents[[#This Row],[Internal Marks]]+tblStudents[[#This Row],[External Marks]]</f>
        <v>38</v>
      </c>
      <c r="J81" s="80" t="str">
        <f>IF(AND(tblStudents[[#This Row],[Total Marks]]&gt;=p_PassTotal,tblStudents[[#This Row],[External Marks]]&gt;=p_PassExt),"Pass","Fail")</f>
        <v>Fail</v>
      </c>
      <c r="K81" s="80" t="str">
        <f>IF(tblStudents[[#This Row],[Result]]="Fail","F",INDEX(Lists!$J$4:$J$11,MATCH(tblStudents[[#This Row],[Total Marks]],Lists!$I$4:$I$11,1)))</f>
        <v>F</v>
      </c>
      <c r="L81" s="81">
        <f>IF(tblStudents[[#This Row],[Result]]="Pass",ROUND(MIN(10,tblStudents[[#This Row],[Total Marks]]/p_SgpaDiv),2),0)</f>
        <v>0</v>
      </c>
      <c r="M81" s="82">
        <f>IF(COUNTIFS(tblStudents[[#This Row],[Branch]],cSt_B,tblStudents[[#This Row],[Semester]],cSt_S,tblStudents[[#This Row],[Year]],cSt_Y)=1,tblStudents[[#This Row],[Total Marks]]+ROW()/1000000,"")</f>
        <v>38.000081</v>
      </c>
    </row>
    <row r="82">
      <c r="A82" s="79" t="inlineStr">
        <is>
          <t>STU1078</t>
        </is>
      </c>
      <c r="B82" s="79" t="inlineStr">
        <is>
          <t>Rahul Reddy</t>
        </is>
      </c>
      <c r="C82" s="80" t="inlineStr">
        <is>
          <t>M</t>
        </is>
      </c>
      <c r="D82" s="80" t="inlineStr">
        <is>
          <t>ECE</t>
        </is>
      </c>
      <c r="E82" s="80" t="n">
        <v>1</v>
      </c>
      <c r="F82" s="80" t="n">
        <v>2024</v>
      </c>
      <c r="G82" s="80" t="n">
        <v>25</v>
      </c>
      <c r="H82" s="80" t="n">
        <v>40</v>
      </c>
      <c r="I82" s="80">
        <f>tblStudents[[#This Row],[Internal Marks]]+tblStudents[[#This Row],[External Marks]]</f>
        <v>65</v>
      </c>
      <c r="J82" s="80" t="str">
        <f>IF(AND(tblStudents[[#This Row],[Total Marks]]&gt;=p_PassTotal,tblStudents[[#This Row],[External Marks]]&gt;=p_PassExt),"Pass","Fail")</f>
        <v>Pass</v>
      </c>
      <c r="K82" s="80" t="str">
        <f>IF(tblStudents[[#This Row],[Result]]="Fail","F",INDEX(Lists!$J$4:$J$11,MATCH(tblStudents[[#This Row],[Total Marks]],Lists!$I$4:$I$11,1)))</f>
        <v>B+</v>
      </c>
      <c r="L82" s="81">
        <f>IF(tblStudents[[#This Row],[Result]]="Pass",ROUND(MIN(10,tblStudents[[#This Row],[Total Marks]]/p_SgpaDiv),2),0)</f>
        <v>6.84</v>
      </c>
      <c r="M82" s="82">
        <f>IF(COUNTIFS(tblStudents[[#This Row],[Branch]],cSt_B,tblStudents[[#This Row],[Semester]],cSt_S,tblStudents[[#This Row],[Year]],cSt_Y)=1,tblStudents[[#This Row],[Total Marks]]+ROW()/1000000,"")</f>
        <v>65.000082</v>
      </c>
    </row>
    <row r="83">
      <c r="A83" s="79" t="inlineStr">
        <is>
          <t>STU1079</t>
        </is>
      </c>
      <c r="B83" s="79" t="inlineStr">
        <is>
          <t>Khushi Yadav</t>
        </is>
      </c>
      <c r="C83" s="80" t="inlineStr">
        <is>
          <t>F</t>
        </is>
      </c>
      <c r="D83" s="80" t="inlineStr">
        <is>
          <t>CSE</t>
        </is>
      </c>
      <c r="E83" s="80" t="n">
        <v>1</v>
      </c>
      <c r="F83" s="80" t="n">
        <v>2024</v>
      </c>
      <c r="G83" s="80" t="n">
        <v>23</v>
      </c>
      <c r="H83" s="80" t="n">
        <v>40</v>
      </c>
      <c r="I83" s="80">
        <f>tblStudents[[#This Row],[Internal Marks]]+tblStudents[[#This Row],[External Marks]]</f>
        <v>63</v>
      </c>
      <c r="J83" s="80" t="str">
        <f>IF(AND(tblStudents[[#This Row],[Total Marks]]&gt;=p_PassTotal,tblStudents[[#This Row],[External Marks]]&gt;=p_PassExt),"Pass","Fail")</f>
        <v>Pass</v>
      </c>
      <c r="K83" s="80" t="str">
        <f>IF(tblStudents[[#This Row],[Result]]="Fail","F",INDEX(Lists!$J$4:$J$11,MATCH(tblStudents[[#This Row],[Total Marks]],Lists!$I$4:$I$11,1)))</f>
        <v>B+</v>
      </c>
      <c r="L83" s="81">
        <f>IF(tblStudents[[#This Row],[Result]]="Pass",ROUND(MIN(10,tblStudents[[#This Row],[Total Marks]]/p_SgpaDiv),2),0)</f>
        <v>6.63</v>
      </c>
      <c r="M83" s="82">
        <f>IF(COUNTIFS(tblStudents[[#This Row],[Branch]],cSt_B,tblStudents[[#This Row],[Semester]],cSt_S,tblStudents[[#This Row],[Year]],cSt_Y)=1,tblStudents[[#This Row],[Total Marks]]+ROW()/1000000,"")</f>
        <v>63.000083</v>
      </c>
    </row>
    <row r="84">
      <c r="A84" s="79" t="inlineStr">
        <is>
          <t>STU1080</t>
        </is>
      </c>
      <c r="B84" s="79" t="inlineStr">
        <is>
          <t>Ayush Shah</t>
        </is>
      </c>
      <c r="C84" s="80" t="inlineStr">
        <is>
          <t>M</t>
        </is>
      </c>
      <c r="D84" s="80" t="inlineStr">
        <is>
          <t>IT</t>
        </is>
      </c>
      <c r="E84" s="80" t="n">
        <v>1</v>
      </c>
      <c r="F84" s="80" t="n">
        <v>2024</v>
      </c>
      <c r="G84" s="80" t="n">
        <v>21</v>
      </c>
      <c r="H84" s="80" t="n">
        <v>13</v>
      </c>
      <c r="I84" s="80">
        <f>tblStudents[[#This Row],[Internal Marks]]+tblStudents[[#This Row],[External Marks]]</f>
        <v>34</v>
      </c>
      <c r="J84" s="80" t="str">
        <f>IF(AND(tblStudents[[#This Row],[Total Marks]]&gt;=p_PassTotal,tblStudents[[#This Row],[External Marks]]&gt;=p_PassExt),"Pass","Fail")</f>
        <v>Fail</v>
      </c>
      <c r="K84" s="80" t="str">
        <f>IF(tblStudents[[#This Row],[Result]]="Fail","F",INDEX(Lists!$J$4:$J$11,MATCH(tblStudents[[#This Row],[Total Marks]],Lists!$I$4:$I$11,1)))</f>
        <v>F</v>
      </c>
      <c r="L84" s="81">
        <f>IF(tblStudents[[#This Row],[Result]]="Pass",ROUND(MIN(10,tblStudents[[#This Row],[Total Marks]]/p_SgpaDiv),2),0)</f>
        <v>0</v>
      </c>
      <c r="M84" s="82">
        <f>IF(COUNTIFS(tblStudents[[#This Row],[Branch]],cSt_B,tblStudents[[#This Row],[Semester]],cSt_S,tblStudents[[#This Row],[Year]],cSt_Y)=1,tblStudents[[#This Row],[Total Marks]]+ROW()/1000000,"")</f>
        <v>34.000084</v>
      </c>
    </row>
    <row r="85">
      <c r="A85" s="79" t="inlineStr">
        <is>
          <t>STU1081</t>
        </is>
      </c>
      <c r="B85" s="79" t="inlineStr">
        <is>
          <t>Rohan Goel</t>
        </is>
      </c>
      <c r="C85" s="80" t="inlineStr">
        <is>
          <t>M</t>
        </is>
      </c>
      <c r="D85" s="80" t="inlineStr">
        <is>
          <t>CSE</t>
        </is>
      </c>
      <c r="E85" s="80" t="n">
        <v>5</v>
      </c>
      <c r="F85" s="80" t="n">
        <v>2023</v>
      </c>
      <c r="G85" s="80" t="n">
        <v>26</v>
      </c>
      <c r="H85" s="80" t="n">
        <v>45</v>
      </c>
      <c r="I85" s="80">
        <f>tblStudents[[#This Row],[Internal Marks]]+tblStudents[[#This Row],[External Marks]]</f>
        <v>71</v>
      </c>
      <c r="J85" s="80" t="str">
        <f>IF(AND(tblStudents[[#This Row],[Total Marks]]&gt;=p_PassTotal,tblStudents[[#This Row],[External Marks]]&gt;=p_PassExt),"Pass","Fail")</f>
        <v>Pass</v>
      </c>
      <c r="K85" s="80" t="str">
        <f>IF(tblStudents[[#This Row],[Result]]="Fail","F",INDEX(Lists!$J$4:$J$11,MATCH(tblStudents[[#This Row],[Total Marks]],Lists!$I$4:$I$11,1)))</f>
        <v>A</v>
      </c>
      <c r="L85" s="81">
        <f>IF(tblStudents[[#This Row],[Result]]="Pass",ROUND(MIN(10,tblStudents[[#This Row],[Total Marks]]/p_SgpaDiv),2),0)</f>
        <v>7.47</v>
      </c>
      <c r="M85" s="82">
        <f>IF(COUNTIFS(tblStudents[[#This Row],[Branch]],cSt_B,tblStudents[[#This Row],[Semester]],cSt_S,tblStudents[[#This Row],[Year]],cSt_Y)=1,tblStudents[[#This Row],[Total Marks]]+ROW()/1000000,"")</f>
        <v>71.000085</v>
      </c>
    </row>
    <row r="86">
      <c r="A86" s="79" t="inlineStr">
        <is>
          <t>STU1082</t>
        </is>
      </c>
      <c r="B86" s="79" t="inlineStr">
        <is>
          <t>Devansh Singh</t>
        </is>
      </c>
      <c r="C86" s="80" t="inlineStr">
        <is>
          <t>M</t>
        </is>
      </c>
      <c r="D86" s="80" t="inlineStr">
        <is>
          <t>ME</t>
        </is>
      </c>
      <c r="E86" s="80" t="n">
        <v>4</v>
      </c>
      <c r="F86" s="80" t="n">
        <v>2026</v>
      </c>
      <c r="G86" s="80" t="n">
        <v>20</v>
      </c>
      <c r="H86" s="80" t="n">
        <v>18</v>
      </c>
      <c r="I86" s="80">
        <f>tblStudents[[#This Row],[Internal Marks]]+tblStudents[[#This Row],[External Marks]]</f>
        <v>38</v>
      </c>
      <c r="J86" s="80" t="str">
        <f>IF(AND(tblStudents[[#This Row],[Total Marks]]&gt;=p_PassTotal,tblStudents[[#This Row],[External Marks]]&gt;=p_PassExt),"Pass","Fail")</f>
        <v>Fail</v>
      </c>
      <c r="K86" s="80" t="str">
        <f>IF(tblStudents[[#This Row],[Result]]="Fail","F",INDEX(Lists!$J$4:$J$11,MATCH(tblStudents[[#This Row],[Total Marks]],Lists!$I$4:$I$11,1)))</f>
        <v>F</v>
      </c>
      <c r="L86" s="81">
        <f>IF(tblStudents[[#This Row],[Result]]="Pass",ROUND(MIN(10,tblStudents[[#This Row],[Total Marks]]/p_SgpaDiv),2),0)</f>
        <v>0</v>
      </c>
      <c r="M86" s="82">
        <f>IF(COUNTIFS(tblStudents[[#This Row],[Branch]],cSt_B,tblStudents[[#This Row],[Semester]],cSt_S,tblStudents[[#This Row],[Year]],cSt_Y)=1,tblStudents[[#This Row],[Total Marks]]+ROW()/1000000,"")</f>
        <v>38.000086</v>
      </c>
    </row>
    <row r="87">
      <c r="A87" s="79" t="inlineStr">
        <is>
          <t>STU1083</t>
        </is>
      </c>
      <c r="B87" s="79" t="inlineStr">
        <is>
          <t>Sachin Garg</t>
        </is>
      </c>
      <c r="C87" s="80" t="inlineStr">
        <is>
          <t>M</t>
        </is>
      </c>
      <c r="D87" s="80" t="inlineStr">
        <is>
          <t>CSE</t>
        </is>
      </c>
      <c r="E87" s="80" t="n">
        <v>4</v>
      </c>
      <c r="F87" s="80" t="n">
        <v>2024</v>
      </c>
      <c r="G87" s="80" t="n">
        <v>23</v>
      </c>
      <c r="H87" s="80" t="n">
        <v>33</v>
      </c>
      <c r="I87" s="80">
        <f>tblStudents[[#This Row],[Internal Marks]]+tblStudents[[#This Row],[External Marks]]</f>
        <v>56</v>
      </c>
      <c r="J87" s="80" t="str">
        <f>IF(AND(tblStudents[[#This Row],[Total Marks]]&gt;=p_PassTotal,tblStudents[[#This Row],[External Marks]]&gt;=p_PassExt),"Pass","Fail")</f>
        <v>Pass</v>
      </c>
      <c r="K87" s="80" t="str">
        <f>IF(tblStudents[[#This Row],[Result]]="Fail","F",INDEX(Lists!$J$4:$J$11,MATCH(tblStudents[[#This Row],[Total Marks]],Lists!$I$4:$I$11,1)))</f>
        <v>B</v>
      </c>
      <c r="L87" s="81">
        <f>IF(tblStudents[[#This Row],[Result]]="Pass",ROUND(MIN(10,tblStudents[[#This Row],[Total Marks]]/p_SgpaDiv),2),0)</f>
        <v>5.89</v>
      </c>
      <c r="M87" s="82">
        <f>IF(COUNTIFS(tblStudents[[#This Row],[Branch]],cSt_B,tblStudents[[#This Row],[Semester]],cSt_S,tblStudents[[#This Row],[Year]],cSt_Y)=1,tblStudents[[#This Row],[Total Marks]]+ROW()/1000000,"")</f>
        <v>56.000087</v>
      </c>
    </row>
    <row r="88">
      <c r="A88" s="79" t="inlineStr">
        <is>
          <t>STU1084</t>
        </is>
      </c>
      <c r="B88" s="79" t="inlineStr">
        <is>
          <t>Varun Yadav</t>
        </is>
      </c>
      <c r="C88" s="80" t="inlineStr">
        <is>
          <t>M</t>
        </is>
      </c>
      <c r="D88" s="80" t="inlineStr">
        <is>
          <t>CSE</t>
        </is>
      </c>
      <c r="E88" s="80" t="n">
        <v>2</v>
      </c>
      <c r="F88" s="80" t="n">
        <v>2024</v>
      </c>
      <c r="G88" s="80" t="n">
        <v>35</v>
      </c>
      <c r="H88" s="80" t="n">
        <v>48</v>
      </c>
      <c r="I88" s="80">
        <f>tblStudents[[#This Row],[Internal Marks]]+tblStudents[[#This Row],[External Marks]]</f>
        <v>83</v>
      </c>
      <c r="J88" s="80" t="str">
        <f>IF(AND(tblStudents[[#This Row],[Total Marks]]&gt;=p_PassTotal,tblStudents[[#This Row],[External Marks]]&gt;=p_PassExt),"Pass","Fail")</f>
        <v>Pass</v>
      </c>
      <c r="K88" s="80" t="str">
        <f>IF(tblStudents[[#This Row],[Result]]="Fail","F",INDEX(Lists!$J$4:$J$11,MATCH(tblStudents[[#This Row],[Total Marks]],Lists!$I$4:$I$11,1)))</f>
        <v>A+</v>
      </c>
      <c r="L88" s="81">
        <f>IF(tblStudents[[#This Row],[Result]]="Pass",ROUND(MIN(10,tblStudents[[#This Row],[Total Marks]]/p_SgpaDiv),2),0)</f>
        <v>8.74</v>
      </c>
      <c r="M88" s="82">
        <f>IF(COUNTIFS(tblStudents[[#This Row],[Branch]],cSt_B,tblStudents[[#This Row],[Semester]],cSt_S,tblStudents[[#This Row],[Year]],cSt_Y)=1,tblStudents[[#This Row],[Total Marks]]+ROW()/1000000,"")</f>
        <v>83.000088</v>
      </c>
    </row>
    <row r="89">
      <c r="A89" s="79" t="inlineStr">
        <is>
          <t>STU1085</t>
        </is>
      </c>
      <c r="B89" s="79" t="inlineStr">
        <is>
          <t>Mayank Agarwal</t>
        </is>
      </c>
      <c r="C89" s="80" t="inlineStr">
        <is>
          <t>M</t>
        </is>
      </c>
      <c r="D89" s="80" t="inlineStr">
        <is>
          <t>CE</t>
        </is>
      </c>
      <c r="E89" s="80" t="n">
        <v>6</v>
      </c>
      <c r="F89" s="80" t="n">
        <v>2024</v>
      </c>
      <c r="G89" s="80" t="n">
        <v>24</v>
      </c>
      <c r="H89" s="80" t="n">
        <v>41</v>
      </c>
      <c r="I89" s="80">
        <f>tblStudents[[#This Row],[Internal Marks]]+tblStudents[[#This Row],[External Marks]]</f>
        <v>65</v>
      </c>
      <c r="J89" s="80" t="str">
        <f>IF(AND(tblStudents[[#This Row],[Total Marks]]&gt;=p_PassTotal,tblStudents[[#This Row],[External Marks]]&gt;=p_PassExt),"Pass","Fail")</f>
        <v>Pass</v>
      </c>
      <c r="K89" s="80" t="str">
        <f>IF(tblStudents[[#This Row],[Result]]="Fail","F",INDEX(Lists!$J$4:$J$11,MATCH(tblStudents[[#This Row],[Total Marks]],Lists!$I$4:$I$11,1)))</f>
        <v>B+</v>
      </c>
      <c r="L89" s="81">
        <f>IF(tblStudents[[#This Row],[Result]]="Pass",ROUND(MIN(10,tblStudents[[#This Row],[Total Marks]]/p_SgpaDiv),2),0)</f>
        <v>6.84</v>
      </c>
      <c r="M89" s="82">
        <f>IF(COUNTIFS(tblStudents[[#This Row],[Branch]],cSt_B,tblStudents[[#This Row],[Semester]],cSt_S,tblStudents[[#This Row],[Year]],cSt_Y)=1,tblStudents[[#This Row],[Total Marks]]+ROW()/1000000,"")</f>
        <v>65.000089</v>
      </c>
    </row>
    <row r="90">
      <c r="A90" s="79" t="inlineStr">
        <is>
          <t>STU1086</t>
        </is>
      </c>
      <c r="B90" s="79" t="inlineStr">
        <is>
          <t>Naina Rawat</t>
        </is>
      </c>
      <c r="C90" s="80" t="inlineStr">
        <is>
          <t>F</t>
        </is>
      </c>
      <c r="D90" s="80" t="inlineStr">
        <is>
          <t>CSE</t>
        </is>
      </c>
      <c r="E90" s="80" t="n">
        <v>1</v>
      </c>
      <c r="F90" s="80" t="n">
        <v>2025</v>
      </c>
      <c r="G90" s="80" t="n">
        <v>29</v>
      </c>
      <c r="H90" s="80" t="n">
        <v>50</v>
      </c>
      <c r="I90" s="80">
        <f>tblStudents[[#This Row],[Internal Marks]]+tblStudents[[#This Row],[External Marks]]</f>
        <v>79</v>
      </c>
      <c r="J90" s="80" t="str">
        <f>IF(AND(tblStudents[[#This Row],[Total Marks]]&gt;=p_PassTotal,tblStudents[[#This Row],[External Marks]]&gt;=p_PassExt),"Pass","Fail")</f>
        <v>Pass</v>
      </c>
      <c r="K90" s="80" t="str">
        <f>IF(tblStudents[[#This Row],[Result]]="Fail","F",INDEX(Lists!$J$4:$J$11,MATCH(tblStudents[[#This Row],[Total Marks]],Lists!$I$4:$I$11,1)))</f>
        <v>A</v>
      </c>
      <c r="L90" s="81">
        <f>IF(tblStudents[[#This Row],[Result]]="Pass",ROUND(MIN(10,tblStudents[[#This Row],[Total Marks]]/p_SgpaDiv),2),0)</f>
        <v>8.32</v>
      </c>
      <c r="M90" s="82">
        <f>IF(COUNTIFS(tblStudents[[#This Row],[Branch]],cSt_B,tblStudents[[#This Row],[Semester]],cSt_S,tblStudents[[#This Row],[Year]],cSt_Y)=1,tblStudents[[#This Row],[Total Marks]]+ROW()/1000000,"")</f>
        <v>79.00009</v>
      </c>
    </row>
    <row r="91">
      <c r="A91" s="79" t="inlineStr">
        <is>
          <t>STU1087</t>
        </is>
      </c>
      <c r="B91" s="79" t="inlineStr">
        <is>
          <t>Anjali Malik</t>
        </is>
      </c>
      <c r="C91" s="80" t="inlineStr">
        <is>
          <t>F</t>
        </is>
      </c>
      <c r="D91" s="80" t="inlineStr">
        <is>
          <t>CE</t>
        </is>
      </c>
      <c r="E91" s="80" t="n">
        <v>1</v>
      </c>
      <c r="F91" s="80" t="n">
        <v>2023</v>
      </c>
      <c r="G91" s="80" t="n">
        <v>27</v>
      </c>
      <c r="H91" s="80" t="n">
        <v>30</v>
      </c>
      <c r="I91" s="80">
        <f>tblStudents[[#This Row],[Internal Marks]]+tblStudents[[#This Row],[External Marks]]</f>
        <v>57</v>
      </c>
      <c r="J91" s="80" t="str">
        <f>IF(AND(tblStudents[[#This Row],[Total Marks]]&gt;=p_PassTotal,tblStudents[[#This Row],[External Marks]]&gt;=p_PassExt),"Pass","Fail")</f>
        <v>Pass</v>
      </c>
      <c r="K91" s="80" t="str">
        <f>IF(tblStudents[[#This Row],[Result]]="Fail","F",INDEX(Lists!$J$4:$J$11,MATCH(tblStudents[[#This Row],[Total Marks]],Lists!$I$4:$I$11,1)))</f>
        <v>B</v>
      </c>
      <c r="L91" s="81">
        <f>IF(tblStudents[[#This Row],[Result]]="Pass",ROUND(MIN(10,tblStudents[[#This Row],[Total Marks]]/p_SgpaDiv),2),0)</f>
        <v>6</v>
      </c>
      <c r="M91" s="82">
        <f>IF(COUNTIFS(tblStudents[[#This Row],[Branch]],cSt_B,tblStudents[[#This Row],[Semester]],cSt_S,tblStudents[[#This Row],[Year]],cSt_Y)=1,tblStudents[[#This Row],[Total Marks]]+ROW()/1000000,"")</f>
        <v>57.000091</v>
      </c>
    </row>
    <row r="92">
      <c r="A92" s="79" t="inlineStr">
        <is>
          <t>STU1088</t>
        </is>
      </c>
      <c r="B92" s="79" t="inlineStr">
        <is>
          <t>Aditi Chaudhary</t>
        </is>
      </c>
      <c r="C92" s="80" t="inlineStr">
        <is>
          <t>F</t>
        </is>
      </c>
      <c r="D92" s="80" t="inlineStr">
        <is>
          <t>IT</t>
        </is>
      </c>
      <c r="E92" s="80" t="n">
        <v>8</v>
      </c>
      <c r="F92" s="80" t="n">
        <v>2023</v>
      </c>
      <c r="G92" s="80" t="n">
        <v>23</v>
      </c>
      <c r="H92" s="80" t="n">
        <v>32</v>
      </c>
      <c r="I92" s="80">
        <f>tblStudents[[#This Row],[Internal Marks]]+tblStudents[[#This Row],[External Marks]]</f>
        <v>55</v>
      </c>
      <c r="J92" s="80" t="str">
        <f>IF(AND(tblStudents[[#This Row],[Total Marks]]&gt;=p_PassTotal,tblStudents[[#This Row],[External Marks]]&gt;=p_PassExt),"Pass","Fail")</f>
        <v>Pass</v>
      </c>
      <c r="K92" s="80" t="str">
        <f>IF(tblStudents[[#This Row],[Result]]="Fail","F",INDEX(Lists!$J$4:$J$11,MATCH(tblStudents[[#This Row],[Total Marks]],Lists!$I$4:$I$11,1)))</f>
        <v>B</v>
      </c>
      <c r="L92" s="81">
        <f>IF(tblStudents[[#This Row],[Result]]="Pass",ROUND(MIN(10,tblStudents[[#This Row],[Total Marks]]/p_SgpaDiv),2),0)</f>
        <v>5.79</v>
      </c>
      <c r="M92" s="82">
        <f>IF(COUNTIFS(tblStudents[[#This Row],[Branch]],cSt_B,tblStudents[[#This Row],[Semester]],cSt_S,tblStudents[[#This Row],[Year]],cSt_Y)=1,tblStudents[[#This Row],[Total Marks]]+ROW()/1000000,"")</f>
        <v>55.000092</v>
      </c>
    </row>
    <row r="93">
      <c r="A93" s="79" t="inlineStr">
        <is>
          <t>STU1089</t>
        </is>
      </c>
      <c r="B93" s="79" t="inlineStr">
        <is>
          <t>Abhishek Bansal</t>
        </is>
      </c>
      <c r="C93" s="80" t="inlineStr">
        <is>
          <t>M</t>
        </is>
      </c>
      <c r="D93" s="80" t="inlineStr">
        <is>
          <t>CSE</t>
        </is>
      </c>
      <c r="E93" s="80" t="n">
        <v>5</v>
      </c>
      <c r="F93" s="80" t="n">
        <v>2024</v>
      </c>
      <c r="G93" s="80" t="n">
        <v>28</v>
      </c>
      <c r="H93" s="80" t="n">
        <v>33</v>
      </c>
      <c r="I93" s="80">
        <f>tblStudents[[#This Row],[Internal Marks]]+tblStudents[[#This Row],[External Marks]]</f>
        <v>61</v>
      </c>
      <c r="J93" s="80" t="str">
        <f>IF(AND(tblStudents[[#This Row],[Total Marks]]&gt;=p_PassTotal,tblStudents[[#This Row],[External Marks]]&gt;=p_PassExt),"Pass","Fail")</f>
        <v>Pass</v>
      </c>
      <c r="K93" s="80" t="str">
        <f>IF(tblStudents[[#This Row],[Result]]="Fail","F",INDEX(Lists!$J$4:$J$11,MATCH(tblStudents[[#This Row],[Total Marks]],Lists!$I$4:$I$11,1)))</f>
        <v>B+</v>
      </c>
      <c r="L93" s="81">
        <f>IF(tblStudents[[#This Row],[Result]]="Pass",ROUND(MIN(10,tblStudents[[#This Row],[Total Marks]]/p_SgpaDiv),2),0)</f>
        <v>6.42</v>
      </c>
      <c r="M93" s="82">
        <f>IF(COUNTIFS(tblStudents[[#This Row],[Branch]],cSt_B,tblStudents[[#This Row],[Semester]],cSt_S,tblStudents[[#This Row],[Year]],cSt_Y)=1,tblStudents[[#This Row],[Total Marks]]+ROW()/1000000,"")</f>
        <v>61.000093</v>
      </c>
    </row>
    <row r="94">
      <c r="A94" s="79" t="inlineStr">
        <is>
          <t>STU1090</t>
        </is>
      </c>
      <c r="B94" s="79" t="inlineStr">
        <is>
          <t>Srishti Kumar</t>
        </is>
      </c>
      <c r="C94" s="80" t="inlineStr">
        <is>
          <t>F</t>
        </is>
      </c>
      <c r="D94" s="80" t="inlineStr">
        <is>
          <t>IT</t>
        </is>
      </c>
      <c r="E94" s="80" t="n">
        <v>5</v>
      </c>
      <c r="F94" s="80" t="n">
        <v>2026</v>
      </c>
      <c r="G94" s="80" t="n">
        <v>29</v>
      </c>
      <c r="H94" s="80" t="n">
        <v>34</v>
      </c>
      <c r="I94" s="80">
        <f>tblStudents[[#This Row],[Internal Marks]]+tblStudents[[#This Row],[External Marks]]</f>
        <v>63</v>
      </c>
      <c r="J94" s="80" t="str">
        <f>IF(AND(tblStudents[[#This Row],[Total Marks]]&gt;=p_PassTotal,tblStudents[[#This Row],[External Marks]]&gt;=p_PassExt),"Pass","Fail")</f>
        <v>Pass</v>
      </c>
      <c r="K94" s="80" t="str">
        <f>IF(tblStudents[[#This Row],[Result]]="Fail","F",INDEX(Lists!$J$4:$J$11,MATCH(tblStudents[[#This Row],[Total Marks]],Lists!$I$4:$I$11,1)))</f>
        <v>B+</v>
      </c>
      <c r="L94" s="81">
        <f>IF(tblStudents[[#This Row],[Result]]="Pass",ROUND(MIN(10,tblStudents[[#This Row],[Total Marks]]/p_SgpaDiv),2),0)</f>
        <v>6.63</v>
      </c>
      <c r="M94" s="82">
        <f>IF(COUNTIFS(tblStudents[[#This Row],[Branch]],cSt_B,tblStudents[[#This Row],[Semester]],cSt_S,tblStudents[[#This Row],[Year]],cSt_Y)=1,tblStudents[[#This Row],[Total Marks]]+ROW()/1000000,"")</f>
        <v>63.000094</v>
      </c>
    </row>
    <row r="95">
      <c r="A95" s="79" t="inlineStr">
        <is>
          <t>STU1091</t>
        </is>
      </c>
      <c r="B95" s="79" t="inlineStr">
        <is>
          <t>Srishti Garg</t>
        </is>
      </c>
      <c r="C95" s="80" t="inlineStr">
        <is>
          <t>F</t>
        </is>
      </c>
      <c r="D95" s="80" t="inlineStr">
        <is>
          <t>ECE</t>
        </is>
      </c>
      <c r="E95" s="80" t="n">
        <v>5</v>
      </c>
      <c r="F95" s="80" t="n">
        <v>2025</v>
      </c>
      <c r="G95" s="80" t="n">
        <v>26</v>
      </c>
      <c r="H95" s="80" t="n">
        <v>39</v>
      </c>
      <c r="I95" s="80">
        <f>tblStudents[[#This Row],[Internal Marks]]+tblStudents[[#This Row],[External Marks]]</f>
        <v>65</v>
      </c>
      <c r="J95" s="80" t="str">
        <f>IF(AND(tblStudents[[#This Row],[Total Marks]]&gt;=p_PassTotal,tblStudents[[#This Row],[External Marks]]&gt;=p_PassExt),"Pass","Fail")</f>
        <v>Pass</v>
      </c>
      <c r="K95" s="80" t="str">
        <f>IF(tblStudents[[#This Row],[Result]]="Fail","F",INDEX(Lists!$J$4:$J$11,MATCH(tblStudents[[#This Row],[Total Marks]],Lists!$I$4:$I$11,1)))</f>
        <v>B+</v>
      </c>
      <c r="L95" s="81">
        <f>IF(tblStudents[[#This Row],[Result]]="Pass",ROUND(MIN(10,tblStudents[[#This Row],[Total Marks]]/p_SgpaDiv),2),0)</f>
        <v>6.84</v>
      </c>
      <c r="M95" s="82">
        <f>IF(COUNTIFS(tblStudents[[#This Row],[Branch]],cSt_B,tblStudents[[#This Row],[Semester]],cSt_S,tblStudents[[#This Row],[Year]],cSt_Y)=1,tblStudents[[#This Row],[Total Marks]]+ROW()/1000000,"")</f>
        <v>65.000095</v>
      </c>
    </row>
    <row r="96">
      <c r="A96" s="79" t="inlineStr">
        <is>
          <t>STU1092</t>
        </is>
      </c>
      <c r="B96" s="79" t="inlineStr">
        <is>
          <t>Bhavna Rastogi</t>
        </is>
      </c>
      <c r="C96" s="80" t="inlineStr">
        <is>
          <t>F</t>
        </is>
      </c>
      <c r="D96" s="80" t="inlineStr">
        <is>
          <t>IT</t>
        </is>
      </c>
      <c r="E96" s="80" t="n">
        <v>6</v>
      </c>
      <c r="F96" s="80" t="n">
        <v>2024</v>
      </c>
      <c r="G96" s="80" t="n">
        <v>28</v>
      </c>
      <c r="H96" s="80" t="n">
        <v>37</v>
      </c>
      <c r="I96" s="80">
        <f>tblStudents[[#This Row],[Internal Marks]]+tblStudents[[#This Row],[External Marks]]</f>
        <v>65</v>
      </c>
      <c r="J96" s="80" t="str">
        <f>IF(AND(tblStudents[[#This Row],[Total Marks]]&gt;=p_PassTotal,tblStudents[[#This Row],[External Marks]]&gt;=p_PassExt),"Pass","Fail")</f>
        <v>Pass</v>
      </c>
      <c r="K96" s="80" t="str">
        <f>IF(tblStudents[[#This Row],[Result]]="Fail","F",INDEX(Lists!$J$4:$J$11,MATCH(tblStudents[[#This Row],[Total Marks]],Lists!$I$4:$I$11,1)))</f>
        <v>B+</v>
      </c>
      <c r="L96" s="81">
        <f>IF(tblStudents[[#This Row],[Result]]="Pass",ROUND(MIN(10,tblStudents[[#This Row],[Total Marks]]/p_SgpaDiv),2),0)</f>
        <v>6.84</v>
      </c>
      <c r="M96" s="82">
        <f>IF(COUNTIFS(tblStudents[[#This Row],[Branch]],cSt_B,tblStudents[[#This Row],[Semester]],cSt_S,tblStudents[[#This Row],[Year]],cSt_Y)=1,tblStudents[[#This Row],[Total Marks]]+ROW()/1000000,"")</f>
        <v>65.000096</v>
      </c>
    </row>
    <row r="97">
      <c r="A97" s="79" t="inlineStr">
        <is>
          <t>STU1093</t>
        </is>
      </c>
      <c r="B97" s="79" t="inlineStr">
        <is>
          <t>Radhika Iyer</t>
        </is>
      </c>
      <c r="C97" s="80" t="inlineStr">
        <is>
          <t>F</t>
        </is>
      </c>
      <c r="D97" s="80" t="inlineStr">
        <is>
          <t>CSE</t>
        </is>
      </c>
      <c r="E97" s="80" t="n">
        <v>5</v>
      </c>
      <c r="F97" s="80" t="n">
        <v>2026</v>
      </c>
      <c r="G97" s="80" t="n">
        <v>25</v>
      </c>
      <c r="H97" s="80" t="n">
        <v>45</v>
      </c>
      <c r="I97" s="80">
        <f>tblStudents[[#This Row],[Internal Marks]]+tblStudents[[#This Row],[External Marks]]</f>
        <v>70</v>
      </c>
      <c r="J97" s="80" t="str">
        <f>IF(AND(tblStudents[[#This Row],[Total Marks]]&gt;=p_PassTotal,tblStudents[[#This Row],[External Marks]]&gt;=p_PassExt),"Pass","Fail")</f>
        <v>Pass</v>
      </c>
      <c r="K97" s="80" t="str">
        <f>IF(tblStudents[[#This Row],[Result]]="Fail","F",INDEX(Lists!$J$4:$J$11,MATCH(tblStudents[[#This Row],[Total Marks]],Lists!$I$4:$I$11,1)))</f>
        <v>A</v>
      </c>
      <c r="L97" s="81">
        <f>IF(tblStudents[[#This Row],[Result]]="Pass",ROUND(MIN(10,tblStudents[[#This Row],[Total Marks]]/p_SgpaDiv),2),0)</f>
        <v>7.37</v>
      </c>
      <c r="M97" s="82">
        <f>IF(COUNTIFS(tblStudents[[#This Row],[Branch]],cSt_B,tblStudents[[#This Row],[Semester]],cSt_S,tblStudents[[#This Row],[Year]],cSt_Y)=1,tblStudents[[#This Row],[Total Marks]]+ROW()/1000000,"")</f>
        <v>70.000097</v>
      </c>
    </row>
    <row r="98">
      <c r="A98" s="79" t="inlineStr">
        <is>
          <t>STU1094</t>
        </is>
      </c>
      <c r="B98" s="79" t="inlineStr">
        <is>
          <t>Parth Saxena</t>
        </is>
      </c>
      <c r="C98" s="80" t="inlineStr">
        <is>
          <t>M</t>
        </is>
      </c>
      <c r="D98" s="80" t="inlineStr">
        <is>
          <t>ECE</t>
        </is>
      </c>
      <c r="E98" s="80" t="n">
        <v>7</v>
      </c>
      <c r="F98" s="80" t="n">
        <v>2024</v>
      </c>
      <c r="G98" s="80" t="n">
        <v>23</v>
      </c>
      <c r="H98" s="80" t="n">
        <v>40</v>
      </c>
      <c r="I98" s="80">
        <f>tblStudents[[#This Row],[Internal Marks]]+tblStudents[[#This Row],[External Marks]]</f>
        <v>63</v>
      </c>
      <c r="J98" s="80" t="str">
        <f>IF(AND(tblStudents[[#This Row],[Total Marks]]&gt;=p_PassTotal,tblStudents[[#This Row],[External Marks]]&gt;=p_PassExt),"Pass","Fail")</f>
        <v>Pass</v>
      </c>
      <c r="K98" s="80" t="str">
        <f>IF(tblStudents[[#This Row],[Result]]="Fail","F",INDEX(Lists!$J$4:$J$11,MATCH(tblStudents[[#This Row],[Total Marks]],Lists!$I$4:$I$11,1)))</f>
        <v>B+</v>
      </c>
      <c r="L98" s="81">
        <f>IF(tblStudents[[#This Row],[Result]]="Pass",ROUND(MIN(10,tblStudents[[#This Row],[Total Marks]]/p_SgpaDiv),2),0)</f>
        <v>6.63</v>
      </c>
      <c r="M98" s="82">
        <f>IF(COUNTIFS(tblStudents[[#This Row],[Branch]],cSt_B,tblStudents[[#This Row],[Semester]],cSt_S,tblStudents[[#This Row],[Year]],cSt_Y)=1,tblStudents[[#This Row],[Total Marks]]+ROW()/1000000,"")</f>
        <v>63.000098</v>
      </c>
    </row>
    <row r="99">
      <c r="A99" s="79" t="inlineStr">
        <is>
          <t>STU1095</t>
        </is>
      </c>
      <c r="B99" s="79" t="inlineStr">
        <is>
          <t>Parth Malik</t>
        </is>
      </c>
      <c r="C99" s="80" t="inlineStr">
        <is>
          <t>M</t>
        </is>
      </c>
      <c r="D99" s="80" t="inlineStr">
        <is>
          <t>CE</t>
        </is>
      </c>
      <c r="E99" s="80" t="n">
        <v>6</v>
      </c>
      <c r="F99" s="80" t="n">
        <v>2025</v>
      </c>
      <c r="G99" s="80" t="n">
        <v>25</v>
      </c>
      <c r="H99" s="80" t="n">
        <v>37</v>
      </c>
      <c r="I99" s="80">
        <f>tblStudents[[#This Row],[Internal Marks]]+tblStudents[[#This Row],[External Marks]]</f>
        <v>62</v>
      </c>
      <c r="J99" s="80" t="str">
        <f>IF(AND(tblStudents[[#This Row],[Total Marks]]&gt;=p_PassTotal,tblStudents[[#This Row],[External Marks]]&gt;=p_PassExt),"Pass","Fail")</f>
        <v>Pass</v>
      </c>
      <c r="K99" s="80" t="str">
        <f>IF(tblStudents[[#This Row],[Result]]="Fail","F",INDEX(Lists!$J$4:$J$11,MATCH(tblStudents[[#This Row],[Total Marks]],Lists!$I$4:$I$11,1)))</f>
        <v>B+</v>
      </c>
      <c r="L99" s="81">
        <f>IF(tblStudents[[#This Row],[Result]]="Pass",ROUND(MIN(10,tblStudents[[#This Row],[Total Marks]]/p_SgpaDiv),2),0)</f>
        <v>6.53</v>
      </c>
      <c r="M99" s="82">
        <f>IF(COUNTIFS(tblStudents[[#This Row],[Branch]],cSt_B,tblStudents[[#This Row],[Semester]],cSt_S,tblStudents[[#This Row],[Year]],cSt_Y)=1,tblStudents[[#This Row],[Total Marks]]+ROW()/1000000,"")</f>
        <v>62.000099</v>
      </c>
    </row>
    <row r="100">
      <c r="A100" s="79" t="inlineStr">
        <is>
          <t>STU1096</t>
        </is>
      </c>
      <c r="B100" s="79" t="inlineStr">
        <is>
          <t>Aarushi Khan</t>
        </is>
      </c>
      <c r="C100" s="80" t="inlineStr">
        <is>
          <t>F</t>
        </is>
      </c>
      <c r="D100" s="80" t="inlineStr">
        <is>
          <t>CSE</t>
        </is>
      </c>
      <c r="E100" s="80" t="n">
        <v>7</v>
      </c>
      <c r="F100" s="80" t="n">
        <v>2026</v>
      </c>
      <c r="G100" s="80" t="n">
        <v>17</v>
      </c>
      <c r="H100" s="80" t="n">
        <v>37</v>
      </c>
      <c r="I100" s="80">
        <f>tblStudents[[#This Row],[Internal Marks]]+tblStudents[[#This Row],[External Marks]]</f>
        <v>54</v>
      </c>
      <c r="J100" s="80" t="str">
        <f>IF(AND(tblStudents[[#This Row],[Total Marks]]&gt;=p_PassTotal,tblStudents[[#This Row],[External Marks]]&gt;=p_PassExt),"Pass","Fail")</f>
        <v>Pass</v>
      </c>
      <c r="K100" s="80" t="str">
        <f>IF(tblStudents[[#This Row],[Result]]="Fail","F",INDEX(Lists!$J$4:$J$11,MATCH(tblStudents[[#This Row],[Total Marks]],Lists!$I$4:$I$11,1)))</f>
        <v>B</v>
      </c>
      <c r="L100" s="81">
        <f>IF(tblStudents[[#This Row],[Result]]="Pass",ROUND(MIN(10,tblStudents[[#This Row],[Total Marks]]/p_SgpaDiv),2),0)</f>
        <v>5.68</v>
      </c>
      <c r="M100" s="82">
        <f>IF(COUNTIFS(tblStudents[[#This Row],[Branch]],cSt_B,tblStudents[[#This Row],[Semester]],cSt_S,tblStudents[[#This Row],[Year]],cSt_Y)=1,tblStudents[[#This Row],[Total Marks]]+ROW()/1000000,"")</f>
        <v>54.0001</v>
      </c>
    </row>
    <row r="101">
      <c r="A101" s="79" t="inlineStr">
        <is>
          <t>STU1097</t>
        </is>
      </c>
      <c r="B101" s="79" t="inlineStr">
        <is>
          <t>Sumit Dubey</t>
        </is>
      </c>
      <c r="C101" s="80" t="inlineStr">
        <is>
          <t>M</t>
        </is>
      </c>
      <c r="D101" s="80" t="inlineStr">
        <is>
          <t>ECE</t>
        </is>
      </c>
      <c r="E101" s="80" t="n">
        <v>1</v>
      </c>
      <c r="F101" s="80" t="n">
        <v>2023</v>
      </c>
      <c r="G101" s="80" t="n">
        <v>29</v>
      </c>
      <c r="H101" s="80" t="n">
        <v>36</v>
      </c>
      <c r="I101" s="80">
        <f>tblStudents[[#This Row],[Internal Marks]]+tblStudents[[#This Row],[External Marks]]</f>
        <v>65</v>
      </c>
      <c r="J101" s="80" t="str">
        <f>IF(AND(tblStudents[[#This Row],[Total Marks]]&gt;=p_PassTotal,tblStudents[[#This Row],[External Marks]]&gt;=p_PassExt),"Pass","Fail")</f>
        <v>Pass</v>
      </c>
      <c r="K101" s="80" t="str">
        <f>IF(tblStudents[[#This Row],[Result]]="Fail","F",INDEX(Lists!$J$4:$J$11,MATCH(tblStudents[[#This Row],[Total Marks]],Lists!$I$4:$I$11,1)))</f>
        <v>B+</v>
      </c>
      <c r="L101" s="81">
        <f>IF(tblStudents[[#This Row],[Result]]="Pass",ROUND(MIN(10,tblStudents[[#This Row],[Total Marks]]/p_SgpaDiv),2),0)</f>
        <v>6.84</v>
      </c>
      <c r="M101" s="82">
        <f>IF(COUNTIFS(tblStudents[[#This Row],[Branch]],cSt_B,tblStudents[[#This Row],[Semester]],cSt_S,tblStudents[[#This Row],[Year]],cSt_Y)=1,tblStudents[[#This Row],[Total Marks]]+ROW()/1000000,"")</f>
        <v>65.000101</v>
      </c>
    </row>
    <row r="102">
      <c r="A102" s="79" t="inlineStr">
        <is>
          <t>STU1098</t>
        </is>
      </c>
      <c r="B102" s="79" t="inlineStr">
        <is>
          <t>Naina Saxena</t>
        </is>
      </c>
      <c r="C102" s="80" t="inlineStr">
        <is>
          <t>F</t>
        </is>
      </c>
      <c r="D102" s="80" t="inlineStr">
        <is>
          <t>ECE</t>
        </is>
      </c>
      <c r="E102" s="80" t="n">
        <v>2</v>
      </c>
      <c r="F102" s="80" t="n">
        <v>2023</v>
      </c>
      <c r="G102" s="80" t="n">
        <v>27</v>
      </c>
      <c r="H102" s="80" t="n">
        <v>39</v>
      </c>
      <c r="I102" s="80">
        <f>tblStudents[[#This Row],[Internal Marks]]+tblStudents[[#This Row],[External Marks]]</f>
        <v>66</v>
      </c>
      <c r="J102" s="80" t="str">
        <f>IF(AND(tblStudents[[#This Row],[Total Marks]]&gt;=p_PassTotal,tblStudents[[#This Row],[External Marks]]&gt;=p_PassExt),"Pass","Fail")</f>
        <v>Pass</v>
      </c>
      <c r="K102" s="80" t="str">
        <f>IF(tblStudents[[#This Row],[Result]]="Fail","F",INDEX(Lists!$J$4:$J$11,MATCH(tblStudents[[#This Row],[Total Marks]],Lists!$I$4:$I$11,1)))</f>
        <v>B+</v>
      </c>
      <c r="L102" s="81">
        <f>IF(tblStudents[[#This Row],[Result]]="Pass",ROUND(MIN(10,tblStudents[[#This Row],[Total Marks]]/p_SgpaDiv),2),0)</f>
        <v>6.95</v>
      </c>
      <c r="M102" s="82">
        <f>IF(COUNTIFS(tblStudents[[#This Row],[Branch]],cSt_B,tblStudents[[#This Row],[Semester]],cSt_S,tblStudents[[#This Row],[Year]],cSt_Y)=1,tblStudents[[#This Row],[Total Marks]]+ROW()/1000000,"")</f>
        <v>66.000102</v>
      </c>
    </row>
    <row r="103">
      <c r="A103" s="79" t="inlineStr">
        <is>
          <t>STU1099</t>
        </is>
      </c>
      <c r="B103" s="79" t="inlineStr">
        <is>
          <t>Palak Mishra</t>
        </is>
      </c>
      <c r="C103" s="80" t="inlineStr">
        <is>
          <t>F</t>
        </is>
      </c>
      <c r="D103" s="80" t="inlineStr">
        <is>
          <t>ECE</t>
        </is>
      </c>
      <c r="E103" s="80" t="n">
        <v>6</v>
      </c>
      <c r="F103" s="80" t="n">
        <v>2025</v>
      </c>
      <c r="G103" s="80" t="n">
        <v>27</v>
      </c>
      <c r="H103" s="80" t="n">
        <v>49</v>
      </c>
      <c r="I103" s="80">
        <f>tblStudents[[#This Row],[Internal Marks]]+tblStudents[[#This Row],[External Marks]]</f>
        <v>76</v>
      </c>
      <c r="J103" s="80" t="str">
        <f>IF(AND(tblStudents[[#This Row],[Total Marks]]&gt;=p_PassTotal,tblStudents[[#This Row],[External Marks]]&gt;=p_PassExt),"Pass","Fail")</f>
        <v>Pass</v>
      </c>
      <c r="K103" s="80" t="str">
        <f>IF(tblStudents[[#This Row],[Result]]="Fail","F",INDEX(Lists!$J$4:$J$11,MATCH(tblStudents[[#This Row],[Total Marks]],Lists!$I$4:$I$11,1)))</f>
        <v>A</v>
      </c>
      <c r="L103" s="81">
        <f>IF(tblStudents[[#This Row],[Result]]="Pass",ROUND(MIN(10,tblStudents[[#This Row],[Total Marks]]/p_SgpaDiv),2),0)</f>
        <v>8</v>
      </c>
      <c r="M103" s="82">
        <f>IF(COUNTIFS(tblStudents[[#This Row],[Branch]],cSt_B,tblStudents[[#This Row],[Semester]],cSt_S,tblStudents[[#This Row],[Year]],cSt_Y)=1,tblStudents[[#This Row],[Total Marks]]+ROW()/1000000,"")</f>
        <v>76.000103</v>
      </c>
    </row>
    <row r="104">
      <c r="A104" s="79" t="inlineStr">
        <is>
          <t>STU1100</t>
        </is>
      </c>
      <c r="B104" s="79" t="inlineStr">
        <is>
          <t>Kavya Mishra</t>
        </is>
      </c>
      <c r="C104" s="80" t="inlineStr">
        <is>
          <t>F</t>
        </is>
      </c>
      <c r="D104" s="80" t="inlineStr">
        <is>
          <t>IT</t>
        </is>
      </c>
      <c r="E104" s="80" t="n">
        <v>4</v>
      </c>
      <c r="F104" s="80" t="n">
        <v>2026</v>
      </c>
      <c r="G104" s="80" t="n">
        <v>28</v>
      </c>
      <c r="H104" s="80" t="n">
        <v>49</v>
      </c>
      <c r="I104" s="80">
        <f>tblStudents[[#This Row],[Internal Marks]]+tblStudents[[#This Row],[External Marks]]</f>
        <v>77</v>
      </c>
      <c r="J104" s="80" t="str">
        <f>IF(AND(tblStudents[[#This Row],[Total Marks]]&gt;=p_PassTotal,tblStudents[[#This Row],[External Marks]]&gt;=p_PassExt),"Pass","Fail")</f>
        <v>Pass</v>
      </c>
      <c r="K104" s="80" t="str">
        <f>IF(tblStudents[[#This Row],[Result]]="Fail","F",INDEX(Lists!$J$4:$J$11,MATCH(tblStudents[[#This Row],[Total Marks]],Lists!$I$4:$I$11,1)))</f>
        <v>A</v>
      </c>
      <c r="L104" s="81">
        <f>IF(tblStudents[[#This Row],[Result]]="Pass",ROUND(MIN(10,tblStudents[[#This Row],[Total Marks]]/p_SgpaDiv),2),0)</f>
        <v>8.11</v>
      </c>
      <c r="M104" s="82">
        <f>IF(COUNTIFS(tblStudents[[#This Row],[Branch]],cSt_B,tblStudents[[#This Row],[Semester]],cSt_S,tblStudents[[#This Row],[Year]],cSt_Y)=1,tblStudents[[#This Row],[Total Marks]]+ROW()/1000000,"")</f>
        <v>77.000104</v>
      </c>
    </row>
    <row r="105">
      <c r="A105" s="79" t="inlineStr">
        <is>
          <t>STU1101</t>
        </is>
      </c>
      <c r="B105" s="79" t="inlineStr">
        <is>
          <t>Ishaan Mehta</t>
        </is>
      </c>
      <c r="C105" s="80" t="inlineStr">
        <is>
          <t>M</t>
        </is>
      </c>
      <c r="D105" s="80" t="inlineStr">
        <is>
          <t>ECE</t>
        </is>
      </c>
      <c r="E105" s="80" t="n">
        <v>2</v>
      </c>
      <c r="F105" s="80" t="n">
        <v>2026</v>
      </c>
      <c r="G105" s="80" t="n">
        <v>25</v>
      </c>
      <c r="H105" s="80" t="n">
        <v>48</v>
      </c>
      <c r="I105" s="80">
        <f>tblStudents[[#This Row],[Internal Marks]]+tblStudents[[#This Row],[External Marks]]</f>
        <v>73</v>
      </c>
      <c r="J105" s="80" t="str">
        <f>IF(AND(tblStudents[[#This Row],[Total Marks]]&gt;=p_PassTotal,tblStudents[[#This Row],[External Marks]]&gt;=p_PassExt),"Pass","Fail")</f>
        <v>Pass</v>
      </c>
      <c r="K105" s="80" t="str">
        <f>IF(tblStudents[[#This Row],[Result]]="Fail","F",INDEX(Lists!$J$4:$J$11,MATCH(tblStudents[[#This Row],[Total Marks]],Lists!$I$4:$I$11,1)))</f>
        <v>A</v>
      </c>
      <c r="L105" s="81">
        <f>IF(tblStudents[[#This Row],[Result]]="Pass",ROUND(MIN(10,tblStudents[[#This Row],[Total Marks]]/p_SgpaDiv),2),0)</f>
        <v>7.68</v>
      </c>
      <c r="M105" s="82">
        <f>IF(COUNTIFS(tblStudents[[#This Row],[Branch]],cSt_B,tblStudents[[#This Row],[Semester]],cSt_S,tblStudents[[#This Row],[Year]],cSt_Y)=1,tblStudents[[#This Row],[Total Marks]]+ROW()/1000000,"")</f>
        <v>73.000105</v>
      </c>
    </row>
    <row r="106">
      <c r="A106" s="79" t="inlineStr">
        <is>
          <t>STU1102</t>
        </is>
      </c>
      <c r="B106" s="79" t="inlineStr">
        <is>
          <t>Sachin Banerjee</t>
        </is>
      </c>
      <c r="C106" s="80" t="inlineStr">
        <is>
          <t>M</t>
        </is>
      </c>
      <c r="D106" s="80" t="inlineStr">
        <is>
          <t>CSE</t>
        </is>
      </c>
      <c r="E106" s="80" t="n">
        <v>8</v>
      </c>
      <c r="F106" s="80" t="n">
        <v>2025</v>
      </c>
      <c r="G106" s="80" t="n">
        <v>29</v>
      </c>
      <c r="H106" s="80" t="n">
        <v>24</v>
      </c>
      <c r="I106" s="80">
        <f>tblStudents[[#This Row],[Internal Marks]]+tblStudents[[#This Row],[External Marks]]</f>
        <v>53</v>
      </c>
      <c r="J106" s="80" t="str">
        <f>IF(AND(tblStudents[[#This Row],[Total Marks]]&gt;=p_PassTotal,tblStudents[[#This Row],[External Marks]]&gt;=p_PassExt),"Pass","Fail")</f>
        <v>Pass</v>
      </c>
      <c r="K106" s="80" t="str">
        <f>IF(tblStudents[[#This Row],[Result]]="Fail","F",INDEX(Lists!$J$4:$J$11,MATCH(tblStudents[[#This Row],[Total Marks]],Lists!$I$4:$I$11,1)))</f>
        <v>B</v>
      </c>
      <c r="L106" s="81">
        <f>IF(tblStudents[[#This Row],[Result]]="Pass",ROUND(MIN(10,tblStudents[[#This Row],[Total Marks]]/p_SgpaDiv),2),0)</f>
        <v>5.58</v>
      </c>
      <c r="M106" s="82">
        <f>IF(COUNTIFS(tblStudents[[#This Row],[Branch]],cSt_B,tblStudents[[#This Row],[Semester]],cSt_S,tblStudents[[#This Row],[Year]],cSt_Y)=1,tblStudents[[#This Row],[Total Marks]]+ROW()/1000000,"")</f>
        <v>53.000106</v>
      </c>
    </row>
    <row r="107">
      <c r="A107" s="79" t="inlineStr">
        <is>
          <t>STU1103</t>
        </is>
      </c>
      <c r="B107" s="79" t="inlineStr">
        <is>
          <t>Sneha Bansal</t>
        </is>
      </c>
      <c r="C107" s="80" t="inlineStr">
        <is>
          <t>F</t>
        </is>
      </c>
      <c r="D107" s="80" t="inlineStr">
        <is>
          <t>CE</t>
        </is>
      </c>
      <c r="E107" s="80" t="n">
        <v>4</v>
      </c>
      <c r="F107" s="80" t="n">
        <v>2026</v>
      </c>
      <c r="G107" s="80" t="n">
        <v>37</v>
      </c>
      <c r="H107" s="80" t="n">
        <v>57</v>
      </c>
      <c r="I107" s="80">
        <f>tblStudents[[#This Row],[Internal Marks]]+tblStudents[[#This Row],[External Marks]]</f>
        <v>94</v>
      </c>
      <c r="J107" s="80" t="str">
        <f>IF(AND(tblStudents[[#This Row],[Total Marks]]&gt;=p_PassTotal,tblStudents[[#This Row],[External Marks]]&gt;=p_PassExt),"Pass","Fail")</f>
        <v>Pass</v>
      </c>
      <c r="K107" s="80" t="str">
        <f>IF(tblStudents[[#This Row],[Result]]="Fail","F",INDEX(Lists!$J$4:$J$11,MATCH(tblStudents[[#This Row],[Total Marks]],Lists!$I$4:$I$11,1)))</f>
        <v>O</v>
      </c>
      <c r="L107" s="81">
        <f>IF(tblStudents[[#This Row],[Result]]="Pass",ROUND(MIN(10,tblStudents[[#This Row],[Total Marks]]/p_SgpaDiv),2),0)</f>
        <v>9.89</v>
      </c>
      <c r="M107" s="82">
        <f>IF(COUNTIFS(tblStudents[[#This Row],[Branch]],cSt_B,tblStudents[[#This Row],[Semester]],cSt_S,tblStudents[[#This Row],[Year]],cSt_Y)=1,tblStudents[[#This Row],[Total Marks]]+ROW()/1000000,"")</f>
        <v>94.000107</v>
      </c>
    </row>
    <row r="108">
      <c r="A108" s="79" t="inlineStr">
        <is>
          <t>STU1104</t>
        </is>
      </c>
      <c r="B108" s="79" t="inlineStr">
        <is>
          <t>Tanvi Patel</t>
        </is>
      </c>
      <c r="C108" s="80" t="inlineStr">
        <is>
          <t>F</t>
        </is>
      </c>
      <c r="D108" s="80" t="inlineStr">
        <is>
          <t>CE</t>
        </is>
      </c>
      <c r="E108" s="80" t="n">
        <v>4</v>
      </c>
      <c r="F108" s="80" t="n">
        <v>2025</v>
      </c>
      <c r="G108" s="80" t="n">
        <v>27</v>
      </c>
      <c r="H108" s="80" t="n">
        <v>38</v>
      </c>
      <c r="I108" s="80">
        <f>tblStudents[[#This Row],[Internal Marks]]+tblStudents[[#This Row],[External Marks]]</f>
        <v>65</v>
      </c>
      <c r="J108" s="80" t="str">
        <f>IF(AND(tblStudents[[#This Row],[Total Marks]]&gt;=p_PassTotal,tblStudents[[#This Row],[External Marks]]&gt;=p_PassExt),"Pass","Fail")</f>
        <v>Pass</v>
      </c>
      <c r="K108" s="80" t="str">
        <f>IF(tblStudents[[#This Row],[Result]]="Fail","F",INDEX(Lists!$J$4:$J$11,MATCH(tblStudents[[#This Row],[Total Marks]],Lists!$I$4:$I$11,1)))</f>
        <v>B+</v>
      </c>
      <c r="L108" s="81">
        <f>IF(tblStudents[[#This Row],[Result]]="Pass",ROUND(MIN(10,tblStudents[[#This Row],[Total Marks]]/p_SgpaDiv),2),0)</f>
        <v>6.84</v>
      </c>
      <c r="M108" s="82">
        <f>IF(COUNTIFS(tblStudents[[#This Row],[Branch]],cSt_B,tblStudents[[#This Row],[Semester]],cSt_S,tblStudents[[#This Row],[Year]],cSt_Y)=1,tblStudents[[#This Row],[Total Marks]]+ROW()/1000000,"")</f>
        <v>65.000108</v>
      </c>
    </row>
    <row r="109">
      <c r="A109" s="79" t="inlineStr">
        <is>
          <t>STU1105</t>
        </is>
      </c>
      <c r="B109" s="79" t="inlineStr">
        <is>
          <t>Tarun Garg</t>
        </is>
      </c>
      <c r="C109" s="80" t="inlineStr">
        <is>
          <t>M</t>
        </is>
      </c>
      <c r="D109" s="80" t="inlineStr">
        <is>
          <t>ECE</t>
        </is>
      </c>
      <c r="E109" s="80" t="n">
        <v>7</v>
      </c>
      <c r="F109" s="80" t="n">
        <v>2025</v>
      </c>
      <c r="G109" s="80" t="n">
        <v>33</v>
      </c>
      <c r="H109" s="80" t="n">
        <v>35</v>
      </c>
      <c r="I109" s="80">
        <f>tblStudents[[#This Row],[Internal Marks]]+tblStudents[[#This Row],[External Marks]]</f>
        <v>68</v>
      </c>
      <c r="J109" s="80" t="str">
        <f>IF(AND(tblStudents[[#This Row],[Total Marks]]&gt;=p_PassTotal,tblStudents[[#This Row],[External Marks]]&gt;=p_PassExt),"Pass","Fail")</f>
        <v>Pass</v>
      </c>
      <c r="K109" s="80" t="str">
        <f>IF(tblStudents[[#This Row],[Result]]="Fail","F",INDEX(Lists!$J$4:$J$11,MATCH(tblStudents[[#This Row],[Total Marks]],Lists!$I$4:$I$11,1)))</f>
        <v>B+</v>
      </c>
      <c r="L109" s="81">
        <f>IF(tblStudents[[#This Row],[Result]]="Pass",ROUND(MIN(10,tblStudents[[#This Row],[Total Marks]]/p_SgpaDiv),2),0)</f>
        <v>7.16</v>
      </c>
      <c r="M109" s="82">
        <f>IF(COUNTIFS(tblStudents[[#This Row],[Branch]],cSt_B,tblStudents[[#This Row],[Semester]],cSt_S,tblStudents[[#This Row],[Year]],cSt_Y)=1,tblStudents[[#This Row],[Total Marks]]+ROW()/1000000,"")</f>
        <v>68.000109</v>
      </c>
    </row>
    <row r="110">
      <c r="A110" s="79" t="inlineStr">
        <is>
          <t>STU1106</t>
        </is>
      </c>
      <c r="B110" s="79" t="inlineStr">
        <is>
          <t>Palak Shah</t>
        </is>
      </c>
      <c r="C110" s="80" t="inlineStr">
        <is>
          <t>F</t>
        </is>
      </c>
      <c r="D110" s="80" t="inlineStr">
        <is>
          <t>ECE</t>
        </is>
      </c>
      <c r="E110" s="80" t="n">
        <v>5</v>
      </c>
      <c r="F110" s="80" t="n">
        <v>2024</v>
      </c>
      <c r="G110" s="80" t="n">
        <v>25</v>
      </c>
      <c r="H110" s="80" t="n">
        <v>30</v>
      </c>
      <c r="I110" s="80">
        <f>tblStudents[[#This Row],[Internal Marks]]+tblStudents[[#This Row],[External Marks]]</f>
        <v>55</v>
      </c>
      <c r="J110" s="80" t="str">
        <f>IF(AND(tblStudents[[#This Row],[Total Marks]]&gt;=p_PassTotal,tblStudents[[#This Row],[External Marks]]&gt;=p_PassExt),"Pass","Fail")</f>
        <v>Pass</v>
      </c>
      <c r="K110" s="80" t="str">
        <f>IF(tblStudents[[#This Row],[Result]]="Fail","F",INDEX(Lists!$J$4:$J$11,MATCH(tblStudents[[#This Row],[Total Marks]],Lists!$I$4:$I$11,1)))</f>
        <v>B</v>
      </c>
      <c r="L110" s="81">
        <f>IF(tblStudents[[#This Row],[Result]]="Pass",ROUND(MIN(10,tblStudents[[#This Row],[Total Marks]]/p_SgpaDiv),2),0)</f>
        <v>5.79</v>
      </c>
      <c r="M110" s="82">
        <f>IF(COUNTIFS(tblStudents[[#This Row],[Branch]],cSt_B,tblStudents[[#This Row],[Semester]],cSt_S,tblStudents[[#This Row],[Year]],cSt_Y)=1,tblStudents[[#This Row],[Total Marks]]+ROW()/1000000,"")</f>
        <v>55.00011</v>
      </c>
    </row>
    <row r="111">
      <c r="A111" s="79" t="inlineStr">
        <is>
          <t>STU1107</t>
        </is>
      </c>
      <c r="B111" s="79" t="inlineStr">
        <is>
          <t>Ayush Khan</t>
        </is>
      </c>
      <c r="C111" s="80" t="inlineStr">
        <is>
          <t>M</t>
        </is>
      </c>
      <c r="D111" s="80" t="inlineStr">
        <is>
          <t>ECE</t>
        </is>
      </c>
      <c r="E111" s="80" t="n">
        <v>5</v>
      </c>
      <c r="F111" s="80" t="n">
        <v>2025</v>
      </c>
      <c r="G111" s="80" t="n">
        <v>33</v>
      </c>
      <c r="H111" s="80" t="n">
        <v>53</v>
      </c>
      <c r="I111" s="80">
        <f>tblStudents[[#This Row],[Internal Marks]]+tblStudents[[#This Row],[External Marks]]</f>
        <v>86</v>
      </c>
      <c r="J111" s="80" t="str">
        <f>IF(AND(tblStudents[[#This Row],[Total Marks]]&gt;=p_PassTotal,tblStudents[[#This Row],[External Marks]]&gt;=p_PassExt),"Pass","Fail")</f>
        <v>Pass</v>
      </c>
      <c r="K111" s="80" t="str">
        <f>IF(tblStudents[[#This Row],[Result]]="Fail","F",INDEX(Lists!$J$4:$J$11,MATCH(tblStudents[[#This Row],[Total Marks]],Lists!$I$4:$I$11,1)))</f>
        <v>A+</v>
      </c>
      <c r="L111" s="81">
        <f>IF(tblStudents[[#This Row],[Result]]="Pass",ROUND(MIN(10,tblStudents[[#This Row],[Total Marks]]/p_SgpaDiv),2),0)</f>
        <v>9.05</v>
      </c>
      <c r="M111" s="82">
        <f>IF(COUNTIFS(tblStudents[[#This Row],[Branch]],cSt_B,tblStudents[[#This Row],[Semester]],cSt_S,tblStudents[[#This Row],[Year]],cSt_Y)=1,tblStudents[[#This Row],[Total Marks]]+ROW()/1000000,"")</f>
        <v>86.000111</v>
      </c>
    </row>
    <row r="112">
      <c r="A112" s="79" t="inlineStr">
        <is>
          <t>STU1108</t>
        </is>
      </c>
      <c r="B112" s="79" t="inlineStr">
        <is>
          <t>Isha Joshi</t>
        </is>
      </c>
      <c r="C112" s="80" t="inlineStr">
        <is>
          <t>F</t>
        </is>
      </c>
      <c r="D112" s="80" t="inlineStr">
        <is>
          <t>ECE</t>
        </is>
      </c>
      <c r="E112" s="80" t="n">
        <v>7</v>
      </c>
      <c r="F112" s="80" t="n">
        <v>2026</v>
      </c>
      <c r="G112" s="80" t="n">
        <v>24</v>
      </c>
      <c r="H112" s="80" t="n">
        <v>35</v>
      </c>
      <c r="I112" s="80">
        <f>tblStudents[[#This Row],[Internal Marks]]+tblStudents[[#This Row],[External Marks]]</f>
        <v>59</v>
      </c>
      <c r="J112" s="80" t="str">
        <f>IF(AND(tblStudents[[#This Row],[Total Marks]]&gt;=p_PassTotal,tblStudents[[#This Row],[External Marks]]&gt;=p_PassExt),"Pass","Fail")</f>
        <v>Pass</v>
      </c>
      <c r="K112" s="80" t="str">
        <f>IF(tblStudents[[#This Row],[Result]]="Fail","F",INDEX(Lists!$J$4:$J$11,MATCH(tblStudents[[#This Row],[Total Marks]],Lists!$I$4:$I$11,1)))</f>
        <v>B</v>
      </c>
      <c r="L112" s="81">
        <f>IF(tblStudents[[#This Row],[Result]]="Pass",ROUND(MIN(10,tblStudents[[#This Row],[Total Marks]]/p_SgpaDiv),2),0)</f>
        <v>6.21</v>
      </c>
      <c r="M112" s="82">
        <f>IF(COUNTIFS(tblStudents[[#This Row],[Branch]],cSt_B,tblStudents[[#This Row],[Semester]],cSt_S,tblStudents[[#This Row],[Year]],cSt_Y)=1,tblStudents[[#This Row],[Total Marks]]+ROW()/1000000,"")</f>
        <v>59.000112</v>
      </c>
    </row>
    <row r="113">
      <c r="A113" s="79" t="inlineStr">
        <is>
          <t>STU1109</t>
        </is>
      </c>
      <c r="B113" s="79" t="inlineStr">
        <is>
          <t>Srishti Dubey</t>
        </is>
      </c>
      <c r="C113" s="80" t="inlineStr">
        <is>
          <t>F</t>
        </is>
      </c>
      <c r="D113" s="80" t="inlineStr">
        <is>
          <t>ECE</t>
        </is>
      </c>
      <c r="E113" s="80" t="n">
        <v>7</v>
      </c>
      <c r="F113" s="80" t="n">
        <v>2025</v>
      </c>
      <c r="G113" s="80" t="n">
        <v>31</v>
      </c>
      <c r="H113" s="80" t="n">
        <v>48</v>
      </c>
      <c r="I113" s="80">
        <f>tblStudents[[#This Row],[Internal Marks]]+tblStudents[[#This Row],[External Marks]]</f>
        <v>79</v>
      </c>
      <c r="J113" s="80" t="str">
        <f>IF(AND(tblStudents[[#This Row],[Total Marks]]&gt;=p_PassTotal,tblStudents[[#This Row],[External Marks]]&gt;=p_PassExt),"Pass","Fail")</f>
        <v>Pass</v>
      </c>
      <c r="K113" s="80" t="str">
        <f>IF(tblStudents[[#This Row],[Result]]="Fail","F",INDEX(Lists!$J$4:$J$11,MATCH(tblStudents[[#This Row],[Total Marks]],Lists!$I$4:$I$11,1)))</f>
        <v>A</v>
      </c>
      <c r="L113" s="81">
        <f>IF(tblStudents[[#This Row],[Result]]="Pass",ROUND(MIN(10,tblStudents[[#This Row],[Total Marks]]/p_SgpaDiv),2),0)</f>
        <v>8.32</v>
      </c>
      <c r="M113" s="82">
        <f>IF(COUNTIFS(tblStudents[[#This Row],[Branch]],cSt_B,tblStudents[[#This Row],[Semester]],cSt_S,tblStudents[[#This Row],[Year]],cSt_Y)=1,tblStudents[[#This Row],[Total Marks]]+ROW()/1000000,"")</f>
        <v>79.000113</v>
      </c>
    </row>
    <row r="114">
      <c r="A114" s="79" t="inlineStr">
        <is>
          <t>STU1110</t>
        </is>
      </c>
      <c r="B114" s="79" t="inlineStr">
        <is>
          <t>Tushar Reddy</t>
        </is>
      </c>
      <c r="C114" s="80" t="inlineStr">
        <is>
          <t>M</t>
        </is>
      </c>
      <c r="D114" s="80" t="inlineStr">
        <is>
          <t>ECE</t>
        </is>
      </c>
      <c r="E114" s="80" t="n">
        <v>1</v>
      </c>
      <c r="F114" s="80" t="n">
        <v>2025</v>
      </c>
      <c r="G114" s="80" t="n">
        <v>17</v>
      </c>
      <c r="H114" s="80" t="n">
        <v>25</v>
      </c>
      <c r="I114" s="80">
        <f>tblStudents[[#This Row],[Internal Marks]]+tblStudents[[#This Row],[External Marks]]</f>
        <v>42</v>
      </c>
      <c r="J114" s="80" t="str">
        <f>IF(AND(tblStudents[[#This Row],[Total Marks]]&gt;=p_PassTotal,tblStudents[[#This Row],[External Marks]]&gt;=p_PassExt),"Pass","Fail")</f>
        <v>Pass</v>
      </c>
      <c r="K114" s="80" t="str">
        <f>IF(tblStudents[[#This Row],[Result]]="Fail","F",INDEX(Lists!$J$4:$J$11,MATCH(tblStudents[[#This Row],[Total Marks]],Lists!$I$4:$I$11,1)))</f>
        <v>P</v>
      </c>
      <c r="L114" s="81">
        <f>IF(tblStudents[[#This Row],[Result]]="Pass",ROUND(MIN(10,tblStudents[[#This Row],[Total Marks]]/p_SgpaDiv),2),0)</f>
        <v>4.42</v>
      </c>
      <c r="M114" s="82">
        <f>IF(COUNTIFS(tblStudents[[#This Row],[Branch]],cSt_B,tblStudents[[#This Row],[Semester]],cSt_S,tblStudents[[#This Row],[Year]],cSt_Y)=1,tblStudents[[#This Row],[Total Marks]]+ROW()/1000000,"")</f>
        <v>42.000114</v>
      </c>
    </row>
    <row r="115">
      <c r="A115" s="79" t="inlineStr">
        <is>
          <t>STU1111</t>
        </is>
      </c>
      <c r="B115" s="79" t="inlineStr">
        <is>
          <t>Ritika Bansal</t>
        </is>
      </c>
      <c r="C115" s="80" t="inlineStr">
        <is>
          <t>F</t>
        </is>
      </c>
      <c r="D115" s="80" t="inlineStr">
        <is>
          <t>ECE</t>
        </is>
      </c>
      <c r="E115" s="80" t="n">
        <v>5</v>
      </c>
      <c r="F115" s="80" t="n">
        <v>2023</v>
      </c>
      <c r="G115" s="80" t="n">
        <v>28</v>
      </c>
      <c r="H115" s="80" t="n">
        <v>42</v>
      </c>
      <c r="I115" s="80">
        <f>tblStudents[[#This Row],[Internal Marks]]+tblStudents[[#This Row],[External Marks]]</f>
        <v>70</v>
      </c>
      <c r="J115" s="80" t="str">
        <f>IF(AND(tblStudents[[#This Row],[Total Marks]]&gt;=p_PassTotal,tblStudents[[#This Row],[External Marks]]&gt;=p_PassExt),"Pass","Fail")</f>
        <v>Pass</v>
      </c>
      <c r="K115" s="80" t="str">
        <f>IF(tblStudents[[#This Row],[Result]]="Fail","F",INDEX(Lists!$J$4:$J$11,MATCH(tblStudents[[#This Row],[Total Marks]],Lists!$I$4:$I$11,1)))</f>
        <v>A</v>
      </c>
      <c r="L115" s="81">
        <f>IF(tblStudents[[#This Row],[Result]]="Pass",ROUND(MIN(10,tblStudents[[#This Row],[Total Marks]]/p_SgpaDiv),2),0)</f>
        <v>7.37</v>
      </c>
      <c r="M115" s="82">
        <f>IF(COUNTIFS(tblStudents[[#This Row],[Branch]],cSt_B,tblStudents[[#This Row],[Semester]],cSt_S,tblStudents[[#This Row],[Year]],cSt_Y)=1,tblStudents[[#This Row],[Total Marks]]+ROW()/1000000,"")</f>
        <v>70.000115</v>
      </c>
    </row>
    <row r="116">
      <c r="A116" s="79" t="inlineStr">
        <is>
          <t>STU1112</t>
        </is>
      </c>
      <c r="B116" s="79" t="inlineStr">
        <is>
          <t>Kavya Garg</t>
        </is>
      </c>
      <c r="C116" s="80" t="inlineStr">
        <is>
          <t>F</t>
        </is>
      </c>
      <c r="D116" s="80" t="inlineStr">
        <is>
          <t>ME</t>
        </is>
      </c>
      <c r="E116" s="80" t="n">
        <v>1</v>
      </c>
      <c r="F116" s="80" t="n">
        <v>2025</v>
      </c>
      <c r="G116" s="80" t="n">
        <v>32</v>
      </c>
      <c r="H116" s="80" t="n">
        <v>51</v>
      </c>
      <c r="I116" s="80">
        <f>tblStudents[[#This Row],[Internal Marks]]+tblStudents[[#This Row],[External Marks]]</f>
        <v>83</v>
      </c>
      <c r="J116" s="80" t="str">
        <f>IF(AND(tblStudents[[#This Row],[Total Marks]]&gt;=p_PassTotal,tblStudents[[#This Row],[External Marks]]&gt;=p_PassExt),"Pass","Fail")</f>
        <v>Pass</v>
      </c>
      <c r="K116" s="80" t="str">
        <f>IF(tblStudents[[#This Row],[Result]]="Fail","F",INDEX(Lists!$J$4:$J$11,MATCH(tblStudents[[#This Row],[Total Marks]],Lists!$I$4:$I$11,1)))</f>
        <v>A+</v>
      </c>
      <c r="L116" s="81">
        <f>IF(tblStudents[[#This Row],[Result]]="Pass",ROUND(MIN(10,tblStudents[[#This Row],[Total Marks]]/p_SgpaDiv),2),0)</f>
        <v>8.74</v>
      </c>
      <c r="M116" s="82">
        <f>IF(COUNTIFS(tblStudents[[#This Row],[Branch]],cSt_B,tblStudents[[#This Row],[Semester]],cSt_S,tblStudents[[#This Row],[Year]],cSt_Y)=1,tblStudents[[#This Row],[Total Marks]]+ROW()/1000000,"")</f>
        <v>83.000116</v>
      </c>
    </row>
    <row r="117">
      <c r="A117" s="79" t="inlineStr">
        <is>
          <t>STU1113</t>
        </is>
      </c>
      <c r="B117" s="79" t="inlineStr">
        <is>
          <t>Rahul Kumar</t>
        </is>
      </c>
      <c r="C117" s="80" t="inlineStr">
        <is>
          <t>M</t>
        </is>
      </c>
      <c r="D117" s="80" t="inlineStr">
        <is>
          <t>IT</t>
        </is>
      </c>
      <c r="E117" s="80" t="n">
        <v>7</v>
      </c>
      <c r="F117" s="80" t="n">
        <v>2023</v>
      </c>
      <c r="G117" s="80" t="n">
        <v>40</v>
      </c>
      <c r="H117" s="80" t="n">
        <v>55</v>
      </c>
      <c r="I117" s="80">
        <f>tblStudents[[#This Row],[Internal Marks]]+tblStudents[[#This Row],[External Marks]]</f>
        <v>95</v>
      </c>
      <c r="J117" s="80" t="str">
        <f>IF(AND(tblStudents[[#This Row],[Total Marks]]&gt;=p_PassTotal,tblStudents[[#This Row],[External Marks]]&gt;=p_PassExt),"Pass","Fail")</f>
        <v>Pass</v>
      </c>
      <c r="K117" s="80" t="str">
        <f>IF(tblStudents[[#This Row],[Result]]="Fail","F",INDEX(Lists!$J$4:$J$11,MATCH(tblStudents[[#This Row],[Total Marks]],Lists!$I$4:$I$11,1)))</f>
        <v>O</v>
      </c>
      <c r="L117" s="81">
        <f>IF(tblStudents[[#This Row],[Result]]="Pass",ROUND(MIN(10,tblStudents[[#This Row],[Total Marks]]/p_SgpaDiv),2),0)</f>
        <v>10</v>
      </c>
      <c r="M117" s="82">
        <f>IF(COUNTIFS(tblStudents[[#This Row],[Branch]],cSt_B,tblStudents[[#This Row],[Semester]],cSt_S,tblStudents[[#This Row],[Year]],cSt_Y)=1,tblStudents[[#This Row],[Total Marks]]+ROW()/1000000,"")</f>
        <v>95.000117</v>
      </c>
    </row>
    <row r="118">
      <c r="A118" s="79" t="inlineStr">
        <is>
          <t>STU1114</t>
        </is>
      </c>
      <c r="B118" s="79" t="inlineStr">
        <is>
          <t>Garima Bhatt</t>
        </is>
      </c>
      <c r="C118" s="80" t="inlineStr">
        <is>
          <t>F</t>
        </is>
      </c>
      <c r="D118" s="80" t="inlineStr">
        <is>
          <t>ME</t>
        </is>
      </c>
      <c r="E118" s="80" t="n">
        <v>8</v>
      </c>
      <c r="F118" s="80" t="n">
        <v>2024</v>
      </c>
      <c r="G118" s="80" t="n">
        <v>29</v>
      </c>
      <c r="H118" s="80" t="n">
        <v>36</v>
      </c>
      <c r="I118" s="80">
        <f>tblStudents[[#This Row],[Internal Marks]]+tblStudents[[#This Row],[External Marks]]</f>
        <v>65</v>
      </c>
      <c r="J118" s="80" t="str">
        <f>IF(AND(tblStudents[[#This Row],[Total Marks]]&gt;=p_PassTotal,tblStudents[[#This Row],[External Marks]]&gt;=p_PassExt),"Pass","Fail")</f>
        <v>Pass</v>
      </c>
      <c r="K118" s="80" t="str">
        <f>IF(tblStudents[[#This Row],[Result]]="Fail","F",INDEX(Lists!$J$4:$J$11,MATCH(tblStudents[[#This Row],[Total Marks]],Lists!$I$4:$I$11,1)))</f>
        <v>B+</v>
      </c>
      <c r="L118" s="81">
        <f>IF(tblStudents[[#This Row],[Result]]="Pass",ROUND(MIN(10,tblStudents[[#This Row],[Total Marks]]/p_SgpaDiv),2),0)</f>
        <v>6.84</v>
      </c>
      <c r="M118" s="82">
        <f>IF(COUNTIFS(tblStudents[[#This Row],[Branch]],cSt_B,tblStudents[[#This Row],[Semester]],cSt_S,tblStudents[[#This Row],[Year]],cSt_Y)=1,tblStudents[[#This Row],[Total Marks]]+ROW()/1000000,"")</f>
        <v>65.000118</v>
      </c>
    </row>
    <row r="119">
      <c r="A119" s="79" t="inlineStr">
        <is>
          <t>STU1115</t>
        </is>
      </c>
      <c r="B119" s="79" t="inlineStr">
        <is>
          <t>Lakshay Iyer</t>
        </is>
      </c>
      <c r="C119" s="80" t="inlineStr">
        <is>
          <t>M</t>
        </is>
      </c>
      <c r="D119" s="80" t="inlineStr">
        <is>
          <t>CE</t>
        </is>
      </c>
      <c r="E119" s="80" t="n">
        <v>2</v>
      </c>
      <c r="F119" s="80" t="n">
        <v>2026</v>
      </c>
      <c r="G119" s="80" t="n">
        <v>29</v>
      </c>
      <c r="H119" s="80" t="n">
        <v>38</v>
      </c>
      <c r="I119" s="80">
        <f>tblStudents[[#This Row],[Internal Marks]]+tblStudents[[#This Row],[External Marks]]</f>
        <v>67</v>
      </c>
      <c r="J119" s="80" t="str">
        <f>IF(AND(tblStudents[[#This Row],[Total Marks]]&gt;=p_PassTotal,tblStudents[[#This Row],[External Marks]]&gt;=p_PassExt),"Pass","Fail")</f>
        <v>Pass</v>
      </c>
      <c r="K119" s="80" t="str">
        <f>IF(tblStudents[[#This Row],[Result]]="Fail","F",INDEX(Lists!$J$4:$J$11,MATCH(tblStudents[[#This Row],[Total Marks]],Lists!$I$4:$I$11,1)))</f>
        <v>B+</v>
      </c>
      <c r="L119" s="81">
        <f>IF(tblStudents[[#This Row],[Result]]="Pass",ROUND(MIN(10,tblStudents[[#This Row],[Total Marks]]/p_SgpaDiv),2),0)</f>
        <v>7.05</v>
      </c>
      <c r="M119" s="82">
        <f>IF(COUNTIFS(tblStudents[[#This Row],[Branch]],cSt_B,tblStudents[[#This Row],[Semester]],cSt_S,tblStudents[[#This Row],[Year]],cSt_Y)=1,tblStudents[[#This Row],[Total Marks]]+ROW()/1000000,"")</f>
        <v>67.000119</v>
      </c>
    </row>
    <row r="120">
      <c r="A120" s="79" t="inlineStr">
        <is>
          <t>STU1116</t>
        </is>
      </c>
      <c r="B120" s="79" t="inlineStr">
        <is>
          <t>Ankit Mishra</t>
        </is>
      </c>
      <c r="C120" s="80" t="inlineStr">
        <is>
          <t>M</t>
        </is>
      </c>
      <c r="D120" s="80" t="inlineStr">
        <is>
          <t>CE</t>
        </is>
      </c>
      <c r="E120" s="80" t="n">
        <v>7</v>
      </c>
      <c r="F120" s="80" t="n">
        <v>2024</v>
      </c>
      <c r="G120" s="80" t="n">
        <v>26</v>
      </c>
      <c r="H120" s="80" t="n">
        <v>50</v>
      </c>
      <c r="I120" s="80">
        <f>tblStudents[[#This Row],[Internal Marks]]+tblStudents[[#This Row],[External Marks]]</f>
        <v>76</v>
      </c>
      <c r="J120" s="80" t="str">
        <f>IF(AND(tblStudents[[#This Row],[Total Marks]]&gt;=p_PassTotal,tblStudents[[#This Row],[External Marks]]&gt;=p_PassExt),"Pass","Fail")</f>
        <v>Pass</v>
      </c>
      <c r="K120" s="80" t="str">
        <f>IF(tblStudents[[#This Row],[Result]]="Fail","F",INDEX(Lists!$J$4:$J$11,MATCH(tblStudents[[#This Row],[Total Marks]],Lists!$I$4:$I$11,1)))</f>
        <v>A</v>
      </c>
      <c r="L120" s="81">
        <f>IF(tblStudents[[#This Row],[Result]]="Pass",ROUND(MIN(10,tblStudents[[#This Row],[Total Marks]]/p_SgpaDiv),2),0)</f>
        <v>8</v>
      </c>
      <c r="M120" s="82">
        <f>IF(COUNTIFS(tblStudents[[#This Row],[Branch]],cSt_B,tblStudents[[#This Row],[Semester]],cSt_S,tblStudents[[#This Row],[Year]],cSt_Y)=1,tblStudents[[#This Row],[Total Marks]]+ROW()/1000000,"")</f>
        <v>76.00012</v>
      </c>
    </row>
    <row r="121">
      <c r="A121" s="79" t="inlineStr">
        <is>
          <t>STU1117</t>
        </is>
      </c>
      <c r="B121" s="79" t="inlineStr">
        <is>
          <t>Pranav Kapoor</t>
        </is>
      </c>
      <c r="C121" s="80" t="inlineStr">
        <is>
          <t>M</t>
        </is>
      </c>
      <c r="D121" s="80" t="inlineStr">
        <is>
          <t>CSE</t>
        </is>
      </c>
      <c r="E121" s="80" t="n">
        <v>5</v>
      </c>
      <c r="F121" s="80" t="n">
        <v>2023</v>
      </c>
      <c r="G121" s="80" t="n">
        <v>29</v>
      </c>
      <c r="H121" s="80" t="n">
        <v>44</v>
      </c>
      <c r="I121" s="80">
        <f>tblStudents[[#This Row],[Internal Marks]]+tblStudents[[#This Row],[External Marks]]</f>
        <v>73</v>
      </c>
      <c r="J121" s="80" t="str">
        <f>IF(AND(tblStudents[[#This Row],[Total Marks]]&gt;=p_PassTotal,tblStudents[[#This Row],[External Marks]]&gt;=p_PassExt),"Pass","Fail")</f>
        <v>Pass</v>
      </c>
      <c r="K121" s="80" t="str">
        <f>IF(tblStudents[[#This Row],[Result]]="Fail","F",INDEX(Lists!$J$4:$J$11,MATCH(tblStudents[[#This Row],[Total Marks]],Lists!$I$4:$I$11,1)))</f>
        <v>A</v>
      </c>
      <c r="L121" s="81">
        <f>IF(tblStudents[[#This Row],[Result]]="Pass",ROUND(MIN(10,tblStudents[[#This Row],[Total Marks]]/p_SgpaDiv),2),0)</f>
        <v>7.68</v>
      </c>
      <c r="M121" s="82">
        <f>IF(COUNTIFS(tblStudents[[#This Row],[Branch]],cSt_B,tblStudents[[#This Row],[Semester]],cSt_S,tblStudents[[#This Row],[Year]],cSt_Y)=1,tblStudents[[#This Row],[Total Marks]]+ROW()/1000000,"")</f>
        <v>73.000121</v>
      </c>
    </row>
    <row r="122">
      <c r="A122" s="79" t="inlineStr">
        <is>
          <t>STU1118</t>
        </is>
      </c>
      <c r="B122" s="79" t="inlineStr">
        <is>
          <t>Tushar Thakur</t>
        </is>
      </c>
      <c r="C122" s="80" t="inlineStr">
        <is>
          <t>M</t>
        </is>
      </c>
      <c r="D122" s="80" t="inlineStr">
        <is>
          <t>CE</t>
        </is>
      </c>
      <c r="E122" s="80" t="n">
        <v>5</v>
      </c>
      <c r="F122" s="80" t="n">
        <v>2024</v>
      </c>
      <c r="G122" s="80" t="n">
        <v>29</v>
      </c>
      <c r="H122" s="80" t="n">
        <v>48</v>
      </c>
      <c r="I122" s="80">
        <f>tblStudents[[#This Row],[Internal Marks]]+tblStudents[[#This Row],[External Marks]]</f>
        <v>77</v>
      </c>
      <c r="J122" s="80" t="str">
        <f>IF(AND(tblStudents[[#This Row],[Total Marks]]&gt;=p_PassTotal,tblStudents[[#This Row],[External Marks]]&gt;=p_PassExt),"Pass","Fail")</f>
        <v>Pass</v>
      </c>
      <c r="K122" s="80" t="str">
        <f>IF(tblStudents[[#This Row],[Result]]="Fail","F",INDEX(Lists!$J$4:$J$11,MATCH(tblStudents[[#This Row],[Total Marks]],Lists!$I$4:$I$11,1)))</f>
        <v>A</v>
      </c>
      <c r="L122" s="81">
        <f>IF(tblStudents[[#This Row],[Result]]="Pass",ROUND(MIN(10,tblStudents[[#This Row],[Total Marks]]/p_SgpaDiv),2),0)</f>
        <v>8.11</v>
      </c>
      <c r="M122" s="82">
        <f>IF(COUNTIFS(tblStudents[[#This Row],[Branch]],cSt_B,tblStudents[[#This Row],[Semester]],cSt_S,tblStudents[[#This Row],[Year]],cSt_Y)=1,tblStudents[[#This Row],[Total Marks]]+ROW()/1000000,"")</f>
        <v>77.000122</v>
      </c>
    </row>
    <row r="123">
      <c r="A123" s="79" t="inlineStr">
        <is>
          <t>STU1119</t>
        </is>
      </c>
      <c r="B123" s="79" t="inlineStr">
        <is>
          <t>Pankaj Kumar</t>
        </is>
      </c>
      <c r="C123" s="80" t="inlineStr">
        <is>
          <t>M</t>
        </is>
      </c>
      <c r="D123" s="80" t="inlineStr">
        <is>
          <t>CE</t>
        </is>
      </c>
      <c r="E123" s="80" t="n">
        <v>8</v>
      </c>
      <c r="F123" s="80" t="n">
        <v>2025</v>
      </c>
      <c r="G123" s="80" t="n">
        <v>22</v>
      </c>
      <c r="H123" s="80" t="n">
        <v>44</v>
      </c>
      <c r="I123" s="80">
        <f>tblStudents[[#This Row],[Internal Marks]]+tblStudents[[#This Row],[External Marks]]</f>
        <v>66</v>
      </c>
      <c r="J123" s="80" t="str">
        <f>IF(AND(tblStudents[[#This Row],[Total Marks]]&gt;=p_PassTotal,tblStudents[[#This Row],[External Marks]]&gt;=p_PassExt),"Pass","Fail")</f>
        <v>Pass</v>
      </c>
      <c r="K123" s="80" t="str">
        <f>IF(tblStudents[[#This Row],[Result]]="Fail","F",INDEX(Lists!$J$4:$J$11,MATCH(tblStudents[[#This Row],[Total Marks]],Lists!$I$4:$I$11,1)))</f>
        <v>B+</v>
      </c>
      <c r="L123" s="81">
        <f>IF(tblStudents[[#This Row],[Result]]="Pass",ROUND(MIN(10,tblStudents[[#This Row],[Total Marks]]/p_SgpaDiv),2),0)</f>
        <v>6.95</v>
      </c>
      <c r="M123" s="82">
        <f>IF(COUNTIFS(tblStudents[[#This Row],[Branch]],cSt_B,tblStudents[[#This Row],[Semester]],cSt_S,tblStudents[[#This Row],[Year]],cSt_Y)=1,tblStudents[[#This Row],[Total Marks]]+ROW()/1000000,"")</f>
        <v>66.000123</v>
      </c>
    </row>
    <row r="124">
      <c r="A124" s="79" t="inlineStr">
        <is>
          <t>STU1120</t>
        </is>
      </c>
      <c r="B124" s="79" t="inlineStr">
        <is>
          <t>Vishal Bansal</t>
        </is>
      </c>
      <c r="C124" s="80" t="inlineStr">
        <is>
          <t>M</t>
        </is>
      </c>
      <c r="D124" s="80" t="inlineStr">
        <is>
          <t>ME</t>
        </is>
      </c>
      <c r="E124" s="80" t="n">
        <v>8</v>
      </c>
      <c r="F124" s="80" t="n">
        <v>2025</v>
      </c>
      <c r="G124" s="80" t="n">
        <v>30</v>
      </c>
      <c r="H124" s="80" t="n">
        <v>54</v>
      </c>
      <c r="I124" s="80">
        <f>tblStudents[[#This Row],[Internal Marks]]+tblStudents[[#This Row],[External Marks]]</f>
        <v>84</v>
      </c>
      <c r="J124" s="80" t="str">
        <f>IF(AND(tblStudents[[#This Row],[Total Marks]]&gt;=p_PassTotal,tblStudents[[#This Row],[External Marks]]&gt;=p_PassExt),"Pass","Fail")</f>
        <v>Pass</v>
      </c>
      <c r="K124" s="80" t="str">
        <f>IF(tblStudents[[#This Row],[Result]]="Fail","F",INDEX(Lists!$J$4:$J$11,MATCH(tblStudents[[#This Row],[Total Marks]],Lists!$I$4:$I$11,1)))</f>
        <v>A+</v>
      </c>
      <c r="L124" s="81">
        <f>IF(tblStudents[[#This Row],[Result]]="Pass",ROUND(MIN(10,tblStudents[[#This Row],[Total Marks]]/p_SgpaDiv),2),0)</f>
        <v>8.84</v>
      </c>
      <c r="M124" s="82">
        <f>IF(COUNTIFS(tblStudents[[#This Row],[Branch]],cSt_B,tblStudents[[#This Row],[Semester]],cSt_S,tblStudents[[#This Row],[Year]],cSt_Y)=1,tblStudents[[#This Row],[Total Marks]]+ROW()/1000000,"")</f>
        <v>84.000124</v>
      </c>
    </row>
    <row r="125">
      <c r="A125" s="79" t="inlineStr">
        <is>
          <t>STU1121</t>
        </is>
      </c>
      <c r="B125" s="79" t="inlineStr">
        <is>
          <t>Sneha Chaudhary</t>
        </is>
      </c>
      <c r="C125" s="80" t="inlineStr">
        <is>
          <t>F</t>
        </is>
      </c>
      <c r="D125" s="80" t="inlineStr">
        <is>
          <t>CSE</t>
        </is>
      </c>
      <c r="E125" s="80" t="n">
        <v>5</v>
      </c>
      <c r="F125" s="80" t="n">
        <v>2023</v>
      </c>
      <c r="G125" s="80" t="n">
        <v>31</v>
      </c>
      <c r="H125" s="80" t="n">
        <v>60</v>
      </c>
      <c r="I125" s="80">
        <f>tblStudents[[#This Row],[Internal Marks]]+tblStudents[[#This Row],[External Marks]]</f>
        <v>91</v>
      </c>
      <c r="J125" s="80" t="str">
        <f>IF(AND(tblStudents[[#This Row],[Total Marks]]&gt;=p_PassTotal,tblStudents[[#This Row],[External Marks]]&gt;=p_PassExt),"Pass","Fail")</f>
        <v>Pass</v>
      </c>
      <c r="K125" s="80" t="str">
        <f>IF(tblStudents[[#This Row],[Result]]="Fail","F",INDEX(Lists!$J$4:$J$11,MATCH(tblStudents[[#This Row],[Total Marks]],Lists!$I$4:$I$11,1)))</f>
        <v>O</v>
      </c>
      <c r="L125" s="81">
        <f>IF(tblStudents[[#This Row],[Result]]="Pass",ROUND(MIN(10,tblStudents[[#This Row],[Total Marks]]/p_SgpaDiv),2),0)</f>
        <v>9.58</v>
      </c>
      <c r="M125" s="82">
        <f>IF(COUNTIFS(tblStudents[[#This Row],[Branch]],cSt_B,tblStudents[[#This Row],[Semester]],cSt_S,tblStudents[[#This Row],[Year]],cSt_Y)=1,tblStudents[[#This Row],[Total Marks]]+ROW()/1000000,"")</f>
        <v>91.000125</v>
      </c>
    </row>
    <row r="126">
      <c r="A126" s="79" t="inlineStr">
        <is>
          <t>STU1122</t>
        </is>
      </c>
      <c r="B126" s="79" t="inlineStr">
        <is>
          <t>Mohit Agarwal</t>
        </is>
      </c>
      <c r="C126" s="80" t="inlineStr">
        <is>
          <t>M</t>
        </is>
      </c>
      <c r="D126" s="80" t="inlineStr">
        <is>
          <t>ECE</t>
        </is>
      </c>
      <c r="E126" s="80" t="n">
        <v>7</v>
      </c>
      <c r="F126" s="80" t="n">
        <v>2023</v>
      </c>
      <c r="G126" s="80" t="n">
        <v>25</v>
      </c>
      <c r="H126" s="80" t="n">
        <v>39</v>
      </c>
      <c r="I126" s="80">
        <f>tblStudents[[#This Row],[Internal Marks]]+tblStudents[[#This Row],[External Marks]]</f>
        <v>64</v>
      </c>
      <c r="J126" s="80" t="str">
        <f>IF(AND(tblStudents[[#This Row],[Total Marks]]&gt;=p_PassTotal,tblStudents[[#This Row],[External Marks]]&gt;=p_PassExt),"Pass","Fail")</f>
        <v>Pass</v>
      </c>
      <c r="K126" s="80" t="str">
        <f>IF(tblStudents[[#This Row],[Result]]="Fail","F",INDEX(Lists!$J$4:$J$11,MATCH(tblStudents[[#This Row],[Total Marks]],Lists!$I$4:$I$11,1)))</f>
        <v>B+</v>
      </c>
      <c r="L126" s="81">
        <f>IF(tblStudents[[#This Row],[Result]]="Pass",ROUND(MIN(10,tblStudents[[#This Row],[Total Marks]]/p_SgpaDiv),2),0)</f>
        <v>6.74</v>
      </c>
      <c r="M126" s="82">
        <f>IF(COUNTIFS(tblStudents[[#This Row],[Branch]],cSt_B,tblStudents[[#This Row],[Semester]],cSt_S,tblStudents[[#This Row],[Year]],cSt_Y)=1,tblStudents[[#This Row],[Total Marks]]+ROW()/1000000,"")</f>
        <v>64.000126</v>
      </c>
    </row>
    <row r="127">
      <c r="A127" s="79" t="inlineStr">
        <is>
          <t>STU1123</t>
        </is>
      </c>
      <c r="B127" s="79" t="inlineStr">
        <is>
          <t>Sneha Das</t>
        </is>
      </c>
      <c r="C127" s="80" t="inlineStr">
        <is>
          <t>F</t>
        </is>
      </c>
      <c r="D127" s="80" t="inlineStr">
        <is>
          <t>ECE</t>
        </is>
      </c>
      <c r="E127" s="80" t="n">
        <v>5</v>
      </c>
      <c r="F127" s="80" t="n">
        <v>2024</v>
      </c>
      <c r="G127" s="80" t="n">
        <v>32</v>
      </c>
      <c r="H127" s="80" t="n">
        <v>60</v>
      </c>
      <c r="I127" s="80">
        <f>tblStudents[[#This Row],[Internal Marks]]+tblStudents[[#This Row],[External Marks]]</f>
        <v>92</v>
      </c>
      <c r="J127" s="80" t="str">
        <f>IF(AND(tblStudents[[#This Row],[Total Marks]]&gt;=p_PassTotal,tblStudents[[#This Row],[External Marks]]&gt;=p_PassExt),"Pass","Fail")</f>
        <v>Pass</v>
      </c>
      <c r="K127" s="80" t="str">
        <f>IF(tblStudents[[#This Row],[Result]]="Fail","F",INDEX(Lists!$J$4:$J$11,MATCH(tblStudents[[#This Row],[Total Marks]],Lists!$I$4:$I$11,1)))</f>
        <v>O</v>
      </c>
      <c r="L127" s="81">
        <f>IF(tblStudents[[#This Row],[Result]]="Pass",ROUND(MIN(10,tblStudents[[#This Row],[Total Marks]]/p_SgpaDiv),2),0)</f>
        <v>9.68</v>
      </c>
      <c r="M127" s="82">
        <f>IF(COUNTIFS(tblStudents[[#This Row],[Branch]],cSt_B,tblStudents[[#This Row],[Semester]],cSt_S,tblStudents[[#This Row],[Year]],cSt_Y)=1,tblStudents[[#This Row],[Total Marks]]+ROW()/1000000,"")</f>
        <v>92.000127</v>
      </c>
    </row>
    <row r="128">
      <c r="A128" s="79" t="inlineStr">
        <is>
          <t>STU1124</t>
        </is>
      </c>
      <c r="B128" s="79" t="inlineStr">
        <is>
          <t>Pooja Saxena</t>
        </is>
      </c>
      <c r="C128" s="80" t="inlineStr">
        <is>
          <t>F</t>
        </is>
      </c>
      <c r="D128" s="80" t="inlineStr">
        <is>
          <t>ME</t>
        </is>
      </c>
      <c r="E128" s="80" t="n">
        <v>1</v>
      </c>
      <c r="F128" s="80" t="n">
        <v>2023</v>
      </c>
      <c r="G128" s="80" t="n">
        <v>21</v>
      </c>
      <c r="H128" s="80" t="n">
        <v>23</v>
      </c>
      <c r="I128" s="80">
        <f>tblStudents[[#This Row],[Internal Marks]]+tblStudents[[#This Row],[External Marks]]</f>
        <v>44</v>
      </c>
      <c r="J128" s="80" t="str">
        <f>IF(AND(tblStudents[[#This Row],[Total Marks]]&gt;=p_PassTotal,tblStudents[[#This Row],[External Marks]]&gt;=p_PassExt),"Pass","Fail")</f>
        <v>Fail</v>
      </c>
      <c r="K128" s="80" t="str">
        <f>IF(tblStudents[[#This Row],[Result]]="Fail","F",INDEX(Lists!$J$4:$J$11,MATCH(tblStudents[[#This Row],[Total Marks]],Lists!$I$4:$I$11,1)))</f>
        <v>F</v>
      </c>
      <c r="L128" s="81">
        <f>IF(tblStudents[[#This Row],[Result]]="Pass",ROUND(MIN(10,tblStudents[[#This Row],[Total Marks]]/p_SgpaDiv),2),0)</f>
        <v>0</v>
      </c>
      <c r="M128" s="82">
        <f>IF(COUNTIFS(tblStudents[[#This Row],[Branch]],cSt_B,tblStudents[[#This Row],[Semester]],cSt_S,tblStudents[[#This Row],[Year]],cSt_Y)=1,tblStudents[[#This Row],[Total Marks]]+ROW()/1000000,"")</f>
        <v>44.000128</v>
      </c>
    </row>
    <row r="129">
      <c r="A129" s="79" t="inlineStr">
        <is>
          <t>STU1125</t>
        </is>
      </c>
      <c r="B129" s="79" t="inlineStr">
        <is>
          <t>Kavya Bansal</t>
        </is>
      </c>
      <c r="C129" s="80" t="inlineStr">
        <is>
          <t>F</t>
        </is>
      </c>
      <c r="D129" s="80" t="inlineStr">
        <is>
          <t>ME</t>
        </is>
      </c>
      <c r="E129" s="80" t="n">
        <v>7</v>
      </c>
      <c r="F129" s="80" t="n">
        <v>2025</v>
      </c>
      <c r="G129" s="80" t="n">
        <v>21</v>
      </c>
      <c r="H129" s="80" t="n">
        <v>40</v>
      </c>
      <c r="I129" s="80">
        <f>tblStudents[[#This Row],[Internal Marks]]+tblStudents[[#This Row],[External Marks]]</f>
        <v>61</v>
      </c>
      <c r="J129" s="80" t="str">
        <f>IF(AND(tblStudents[[#This Row],[Total Marks]]&gt;=p_PassTotal,tblStudents[[#This Row],[External Marks]]&gt;=p_PassExt),"Pass","Fail")</f>
        <v>Pass</v>
      </c>
      <c r="K129" s="80" t="str">
        <f>IF(tblStudents[[#This Row],[Result]]="Fail","F",INDEX(Lists!$J$4:$J$11,MATCH(tblStudents[[#This Row],[Total Marks]],Lists!$I$4:$I$11,1)))</f>
        <v>B+</v>
      </c>
      <c r="L129" s="81">
        <f>IF(tblStudents[[#This Row],[Result]]="Pass",ROUND(MIN(10,tblStudents[[#This Row],[Total Marks]]/p_SgpaDiv),2),0)</f>
        <v>6.42</v>
      </c>
      <c r="M129" s="82">
        <f>IF(COUNTIFS(tblStudents[[#This Row],[Branch]],cSt_B,tblStudents[[#This Row],[Semester]],cSt_S,tblStudents[[#This Row],[Year]],cSt_Y)=1,tblStudents[[#This Row],[Total Marks]]+ROW()/1000000,"")</f>
        <v>61.000129</v>
      </c>
    </row>
    <row r="130">
      <c r="A130" s="79" t="inlineStr">
        <is>
          <t>STU1126</t>
        </is>
      </c>
      <c r="B130" s="79" t="inlineStr">
        <is>
          <t>Kritika Patel</t>
        </is>
      </c>
      <c r="C130" s="80" t="inlineStr">
        <is>
          <t>F</t>
        </is>
      </c>
      <c r="D130" s="80" t="inlineStr">
        <is>
          <t>CSE</t>
        </is>
      </c>
      <c r="E130" s="80" t="n">
        <v>6</v>
      </c>
      <c r="F130" s="80" t="n">
        <v>2025</v>
      </c>
      <c r="G130" s="80" t="n">
        <v>32</v>
      </c>
      <c r="H130" s="80" t="n">
        <v>60</v>
      </c>
      <c r="I130" s="80">
        <f>tblStudents[[#This Row],[Internal Marks]]+tblStudents[[#This Row],[External Marks]]</f>
        <v>92</v>
      </c>
      <c r="J130" s="80" t="str">
        <f>IF(AND(tblStudents[[#This Row],[Total Marks]]&gt;=p_PassTotal,tblStudents[[#This Row],[External Marks]]&gt;=p_PassExt),"Pass","Fail")</f>
        <v>Pass</v>
      </c>
      <c r="K130" s="80" t="str">
        <f>IF(tblStudents[[#This Row],[Result]]="Fail","F",INDEX(Lists!$J$4:$J$11,MATCH(tblStudents[[#This Row],[Total Marks]],Lists!$I$4:$I$11,1)))</f>
        <v>O</v>
      </c>
      <c r="L130" s="81">
        <f>IF(tblStudents[[#This Row],[Result]]="Pass",ROUND(MIN(10,tblStudents[[#This Row],[Total Marks]]/p_SgpaDiv),2),0)</f>
        <v>9.68</v>
      </c>
      <c r="M130" s="82">
        <f>IF(COUNTIFS(tblStudents[[#This Row],[Branch]],cSt_B,tblStudents[[#This Row],[Semester]],cSt_S,tblStudents[[#This Row],[Year]],cSt_Y)=1,tblStudents[[#This Row],[Total Marks]]+ROW()/1000000,"")</f>
        <v>92.00013</v>
      </c>
    </row>
    <row r="131">
      <c r="A131" s="79" t="inlineStr">
        <is>
          <t>STU1127</t>
        </is>
      </c>
      <c r="B131" s="79" t="inlineStr">
        <is>
          <t>Bhavna Ansari</t>
        </is>
      </c>
      <c r="C131" s="80" t="inlineStr">
        <is>
          <t>F</t>
        </is>
      </c>
      <c r="D131" s="80" t="inlineStr">
        <is>
          <t>IT</t>
        </is>
      </c>
      <c r="E131" s="80" t="n">
        <v>2</v>
      </c>
      <c r="F131" s="80" t="n">
        <v>2023</v>
      </c>
      <c r="G131" s="80" t="n">
        <v>23</v>
      </c>
      <c r="H131" s="80" t="n">
        <v>33</v>
      </c>
      <c r="I131" s="80">
        <f>tblStudents[[#This Row],[Internal Marks]]+tblStudents[[#This Row],[External Marks]]</f>
        <v>56</v>
      </c>
      <c r="J131" s="80" t="str">
        <f>IF(AND(tblStudents[[#This Row],[Total Marks]]&gt;=p_PassTotal,tblStudents[[#This Row],[External Marks]]&gt;=p_PassExt),"Pass","Fail")</f>
        <v>Pass</v>
      </c>
      <c r="K131" s="80" t="str">
        <f>IF(tblStudents[[#This Row],[Result]]="Fail","F",INDEX(Lists!$J$4:$J$11,MATCH(tblStudents[[#This Row],[Total Marks]],Lists!$I$4:$I$11,1)))</f>
        <v>B</v>
      </c>
      <c r="L131" s="81">
        <f>IF(tblStudents[[#This Row],[Result]]="Pass",ROUND(MIN(10,tblStudents[[#This Row],[Total Marks]]/p_SgpaDiv),2),0)</f>
        <v>5.89</v>
      </c>
      <c r="M131" s="82">
        <f>IF(COUNTIFS(tblStudents[[#This Row],[Branch]],cSt_B,tblStudents[[#This Row],[Semester]],cSt_S,tblStudents[[#This Row],[Year]],cSt_Y)=1,tblStudents[[#This Row],[Total Marks]]+ROW()/1000000,"")</f>
        <v>56.000131</v>
      </c>
    </row>
    <row r="132">
      <c r="A132" s="79" t="inlineStr">
        <is>
          <t>STU1128</t>
        </is>
      </c>
      <c r="B132" s="79" t="inlineStr">
        <is>
          <t>Bhavna Tiwari</t>
        </is>
      </c>
      <c r="C132" s="80" t="inlineStr">
        <is>
          <t>F</t>
        </is>
      </c>
      <c r="D132" s="80" t="inlineStr">
        <is>
          <t>CE</t>
        </is>
      </c>
      <c r="E132" s="80" t="n">
        <v>6</v>
      </c>
      <c r="F132" s="80" t="n">
        <v>2023</v>
      </c>
      <c r="G132" s="80" t="n">
        <v>27</v>
      </c>
      <c r="H132" s="80" t="n">
        <v>47</v>
      </c>
      <c r="I132" s="80">
        <f>tblStudents[[#This Row],[Internal Marks]]+tblStudents[[#This Row],[External Marks]]</f>
        <v>74</v>
      </c>
      <c r="J132" s="80" t="str">
        <f>IF(AND(tblStudents[[#This Row],[Total Marks]]&gt;=p_PassTotal,tblStudents[[#This Row],[External Marks]]&gt;=p_PassExt),"Pass","Fail")</f>
        <v>Pass</v>
      </c>
      <c r="K132" s="80" t="str">
        <f>IF(tblStudents[[#This Row],[Result]]="Fail","F",INDEX(Lists!$J$4:$J$11,MATCH(tblStudents[[#This Row],[Total Marks]],Lists!$I$4:$I$11,1)))</f>
        <v>A</v>
      </c>
      <c r="L132" s="81">
        <f>IF(tblStudents[[#This Row],[Result]]="Pass",ROUND(MIN(10,tblStudents[[#This Row],[Total Marks]]/p_SgpaDiv),2),0)</f>
        <v>7.79</v>
      </c>
      <c r="M132" s="82">
        <f>IF(COUNTIFS(tblStudents[[#This Row],[Branch]],cSt_B,tblStudents[[#This Row],[Semester]],cSt_S,tblStudents[[#This Row],[Year]],cSt_Y)=1,tblStudents[[#This Row],[Total Marks]]+ROW()/1000000,"")</f>
        <v>74.000132</v>
      </c>
    </row>
    <row r="133">
      <c r="A133" s="79" t="inlineStr">
        <is>
          <t>STU1129</t>
        </is>
      </c>
      <c r="B133" s="79" t="inlineStr">
        <is>
          <t>Gaurav Srivastava</t>
        </is>
      </c>
      <c r="C133" s="80" t="inlineStr">
        <is>
          <t>M</t>
        </is>
      </c>
      <c r="D133" s="80" t="inlineStr">
        <is>
          <t>ECE</t>
        </is>
      </c>
      <c r="E133" s="80" t="n">
        <v>1</v>
      </c>
      <c r="F133" s="80" t="n">
        <v>2023</v>
      </c>
      <c r="G133" s="80" t="n">
        <v>38</v>
      </c>
      <c r="H133" s="80" t="n">
        <v>58</v>
      </c>
      <c r="I133" s="80">
        <f>tblStudents[[#This Row],[Internal Marks]]+tblStudents[[#This Row],[External Marks]]</f>
        <v>96</v>
      </c>
      <c r="J133" s="80" t="str">
        <f>IF(AND(tblStudents[[#This Row],[Total Marks]]&gt;=p_PassTotal,tblStudents[[#This Row],[External Marks]]&gt;=p_PassExt),"Pass","Fail")</f>
        <v>Pass</v>
      </c>
      <c r="K133" s="80" t="str">
        <f>IF(tblStudents[[#This Row],[Result]]="Fail","F",INDEX(Lists!$J$4:$J$11,MATCH(tblStudents[[#This Row],[Total Marks]],Lists!$I$4:$I$11,1)))</f>
        <v>O</v>
      </c>
      <c r="L133" s="81">
        <f>IF(tblStudents[[#This Row],[Result]]="Pass",ROUND(MIN(10,tblStudents[[#This Row],[Total Marks]]/p_SgpaDiv),2),0)</f>
        <v>10</v>
      </c>
      <c r="M133" s="82">
        <f>IF(COUNTIFS(tblStudents[[#This Row],[Branch]],cSt_B,tblStudents[[#This Row],[Semester]],cSt_S,tblStudents[[#This Row],[Year]],cSt_Y)=1,tblStudents[[#This Row],[Total Marks]]+ROW()/1000000,"")</f>
        <v>96.000133</v>
      </c>
    </row>
    <row r="134">
      <c r="A134" s="79" t="inlineStr">
        <is>
          <t>STU1130</t>
        </is>
      </c>
      <c r="B134" s="79" t="inlineStr">
        <is>
          <t>Nikhil Chaudhary</t>
        </is>
      </c>
      <c r="C134" s="80" t="inlineStr">
        <is>
          <t>M</t>
        </is>
      </c>
      <c r="D134" s="80" t="inlineStr">
        <is>
          <t>ECE</t>
        </is>
      </c>
      <c r="E134" s="80" t="n">
        <v>5</v>
      </c>
      <c r="F134" s="80" t="n">
        <v>2026</v>
      </c>
      <c r="G134" s="80" t="n">
        <v>26</v>
      </c>
      <c r="H134" s="80" t="n">
        <v>53</v>
      </c>
      <c r="I134" s="80">
        <f>tblStudents[[#This Row],[Internal Marks]]+tblStudents[[#This Row],[External Marks]]</f>
        <v>79</v>
      </c>
      <c r="J134" s="80" t="str">
        <f>IF(AND(tblStudents[[#This Row],[Total Marks]]&gt;=p_PassTotal,tblStudents[[#This Row],[External Marks]]&gt;=p_PassExt),"Pass","Fail")</f>
        <v>Pass</v>
      </c>
      <c r="K134" s="80" t="str">
        <f>IF(tblStudents[[#This Row],[Result]]="Fail","F",INDEX(Lists!$J$4:$J$11,MATCH(tblStudents[[#This Row],[Total Marks]],Lists!$I$4:$I$11,1)))</f>
        <v>A</v>
      </c>
      <c r="L134" s="81">
        <f>IF(tblStudents[[#This Row],[Result]]="Pass",ROUND(MIN(10,tblStudents[[#This Row],[Total Marks]]/p_SgpaDiv),2),0)</f>
        <v>8.32</v>
      </c>
      <c r="M134" s="82">
        <f>IF(COUNTIFS(tblStudents[[#This Row],[Branch]],cSt_B,tblStudents[[#This Row],[Semester]],cSt_S,tblStudents[[#This Row],[Year]],cSt_Y)=1,tblStudents[[#This Row],[Total Marks]]+ROW()/1000000,"")</f>
        <v>79.000134</v>
      </c>
    </row>
    <row r="135">
      <c r="A135" s="79" t="inlineStr">
        <is>
          <t>STU1131</t>
        </is>
      </c>
      <c r="B135" s="79" t="inlineStr">
        <is>
          <t>Karan Iyer</t>
        </is>
      </c>
      <c r="C135" s="80" t="inlineStr">
        <is>
          <t>M</t>
        </is>
      </c>
      <c r="D135" s="80" t="inlineStr">
        <is>
          <t>ECE</t>
        </is>
      </c>
      <c r="E135" s="80" t="n">
        <v>6</v>
      </c>
      <c r="F135" s="80" t="n">
        <v>2024</v>
      </c>
      <c r="G135" s="80" t="n">
        <v>19</v>
      </c>
      <c r="H135" s="80" t="n">
        <v>22</v>
      </c>
      <c r="I135" s="80">
        <f>tblStudents[[#This Row],[Internal Marks]]+tblStudents[[#This Row],[External Marks]]</f>
        <v>41</v>
      </c>
      <c r="J135" s="80" t="str">
        <f>IF(AND(tblStudents[[#This Row],[Total Marks]]&gt;=p_PassTotal,tblStudents[[#This Row],[External Marks]]&gt;=p_PassExt),"Pass","Fail")</f>
        <v>Fail</v>
      </c>
      <c r="K135" s="80" t="str">
        <f>IF(tblStudents[[#This Row],[Result]]="Fail","F",INDEX(Lists!$J$4:$J$11,MATCH(tblStudents[[#This Row],[Total Marks]],Lists!$I$4:$I$11,1)))</f>
        <v>F</v>
      </c>
      <c r="L135" s="81">
        <f>IF(tblStudents[[#This Row],[Result]]="Pass",ROUND(MIN(10,tblStudents[[#This Row],[Total Marks]]/p_SgpaDiv),2),0)</f>
        <v>0</v>
      </c>
      <c r="M135" s="82">
        <f>IF(COUNTIFS(tblStudents[[#This Row],[Branch]],cSt_B,tblStudents[[#This Row],[Semester]],cSt_S,tblStudents[[#This Row],[Year]],cSt_Y)=1,tblStudents[[#This Row],[Total Marks]]+ROW()/1000000,"")</f>
        <v>41.000135</v>
      </c>
    </row>
    <row r="136">
      <c r="A136" s="79" t="inlineStr">
        <is>
          <t>STU1132</t>
        </is>
      </c>
      <c r="B136" s="79" t="inlineStr">
        <is>
          <t>Nandini Joshi</t>
        </is>
      </c>
      <c r="C136" s="80" t="inlineStr">
        <is>
          <t>F</t>
        </is>
      </c>
      <c r="D136" s="80" t="inlineStr">
        <is>
          <t>ME</t>
        </is>
      </c>
      <c r="E136" s="80" t="n">
        <v>4</v>
      </c>
      <c r="F136" s="80" t="n">
        <v>2025</v>
      </c>
      <c r="G136" s="80" t="n">
        <v>25</v>
      </c>
      <c r="H136" s="80" t="n">
        <v>40</v>
      </c>
      <c r="I136" s="80">
        <f>tblStudents[[#This Row],[Internal Marks]]+tblStudents[[#This Row],[External Marks]]</f>
        <v>65</v>
      </c>
      <c r="J136" s="80" t="str">
        <f>IF(AND(tblStudents[[#This Row],[Total Marks]]&gt;=p_PassTotal,tblStudents[[#This Row],[External Marks]]&gt;=p_PassExt),"Pass","Fail")</f>
        <v>Pass</v>
      </c>
      <c r="K136" s="80" t="str">
        <f>IF(tblStudents[[#This Row],[Result]]="Fail","F",INDEX(Lists!$J$4:$J$11,MATCH(tblStudents[[#This Row],[Total Marks]],Lists!$I$4:$I$11,1)))</f>
        <v>B+</v>
      </c>
      <c r="L136" s="81">
        <f>IF(tblStudents[[#This Row],[Result]]="Pass",ROUND(MIN(10,tblStudents[[#This Row],[Total Marks]]/p_SgpaDiv),2),0)</f>
        <v>6.84</v>
      </c>
      <c r="M136" s="82">
        <f>IF(COUNTIFS(tblStudents[[#This Row],[Branch]],cSt_B,tblStudents[[#This Row],[Semester]],cSt_S,tblStudents[[#This Row],[Year]],cSt_Y)=1,tblStudents[[#This Row],[Total Marks]]+ROW()/1000000,"")</f>
        <v>65.000136</v>
      </c>
    </row>
    <row r="137">
      <c r="A137" s="79" t="inlineStr">
        <is>
          <t>STU1133</t>
        </is>
      </c>
      <c r="B137" s="79" t="inlineStr">
        <is>
          <t>Mohit Garg</t>
        </is>
      </c>
      <c r="C137" s="80" t="inlineStr">
        <is>
          <t>M</t>
        </is>
      </c>
      <c r="D137" s="80" t="inlineStr">
        <is>
          <t>ECE</t>
        </is>
      </c>
      <c r="E137" s="80" t="n">
        <v>8</v>
      </c>
      <c r="F137" s="80" t="n">
        <v>2023</v>
      </c>
      <c r="G137" s="80" t="n">
        <v>31</v>
      </c>
      <c r="H137" s="80" t="n">
        <v>54</v>
      </c>
      <c r="I137" s="80">
        <f>tblStudents[[#This Row],[Internal Marks]]+tblStudents[[#This Row],[External Marks]]</f>
        <v>85</v>
      </c>
      <c r="J137" s="80" t="str">
        <f>IF(AND(tblStudents[[#This Row],[Total Marks]]&gt;=p_PassTotal,tblStudents[[#This Row],[External Marks]]&gt;=p_PassExt),"Pass","Fail")</f>
        <v>Pass</v>
      </c>
      <c r="K137" s="80" t="str">
        <f>IF(tblStudents[[#This Row],[Result]]="Fail","F",INDEX(Lists!$J$4:$J$11,MATCH(tblStudents[[#This Row],[Total Marks]],Lists!$I$4:$I$11,1)))</f>
        <v>A+</v>
      </c>
      <c r="L137" s="81">
        <f>IF(tblStudents[[#This Row],[Result]]="Pass",ROUND(MIN(10,tblStudents[[#This Row],[Total Marks]]/p_SgpaDiv),2),0)</f>
        <v>8.95</v>
      </c>
      <c r="M137" s="82">
        <f>IF(COUNTIFS(tblStudents[[#This Row],[Branch]],cSt_B,tblStudents[[#This Row],[Semester]],cSt_S,tblStudents[[#This Row],[Year]],cSt_Y)=1,tblStudents[[#This Row],[Total Marks]]+ROW()/1000000,"")</f>
        <v>85.000137</v>
      </c>
    </row>
    <row r="138">
      <c r="A138" s="79" t="inlineStr">
        <is>
          <t>STU1134</t>
        </is>
      </c>
      <c r="B138" s="79" t="inlineStr">
        <is>
          <t>Gaurav Shah</t>
        </is>
      </c>
      <c r="C138" s="80" t="inlineStr">
        <is>
          <t>M</t>
        </is>
      </c>
      <c r="D138" s="80" t="inlineStr">
        <is>
          <t>ECE</t>
        </is>
      </c>
      <c r="E138" s="80" t="n">
        <v>2</v>
      </c>
      <c r="F138" s="80" t="n">
        <v>2026</v>
      </c>
      <c r="G138" s="80" t="n">
        <v>23</v>
      </c>
      <c r="H138" s="80" t="n">
        <v>22</v>
      </c>
      <c r="I138" s="80">
        <f>tblStudents[[#This Row],[Internal Marks]]+tblStudents[[#This Row],[External Marks]]</f>
        <v>45</v>
      </c>
      <c r="J138" s="80" t="str">
        <f>IF(AND(tblStudents[[#This Row],[Total Marks]]&gt;=p_PassTotal,tblStudents[[#This Row],[External Marks]]&gt;=p_PassExt),"Pass","Fail")</f>
        <v>Fail</v>
      </c>
      <c r="K138" s="80" t="str">
        <f>IF(tblStudents[[#This Row],[Result]]="Fail","F",INDEX(Lists!$J$4:$J$11,MATCH(tblStudents[[#This Row],[Total Marks]],Lists!$I$4:$I$11,1)))</f>
        <v>F</v>
      </c>
      <c r="L138" s="81">
        <f>IF(tblStudents[[#This Row],[Result]]="Pass",ROUND(MIN(10,tblStudents[[#This Row],[Total Marks]]/p_SgpaDiv),2),0)</f>
        <v>0</v>
      </c>
      <c r="M138" s="82">
        <f>IF(COUNTIFS(tblStudents[[#This Row],[Branch]],cSt_B,tblStudents[[#This Row],[Semester]],cSt_S,tblStudents[[#This Row],[Year]],cSt_Y)=1,tblStudents[[#This Row],[Total Marks]]+ROW()/1000000,"")</f>
        <v>45.000138</v>
      </c>
    </row>
    <row r="139">
      <c r="A139" s="79" t="inlineStr">
        <is>
          <t>STU1135</t>
        </is>
      </c>
      <c r="B139" s="79" t="inlineStr">
        <is>
          <t>Pooja Tiwari</t>
        </is>
      </c>
      <c r="C139" s="80" t="inlineStr">
        <is>
          <t>F</t>
        </is>
      </c>
      <c r="D139" s="80" t="inlineStr">
        <is>
          <t>CE</t>
        </is>
      </c>
      <c r="E139" s="80" t="n">
        <v>5</v>
      </c>
      <c r="F139" s="80" t="n">
        <v>2023</v>
      </c>
      <c r="G139" s="80" t="n">
        <v>21</v>
      </c>
      <c r="H139" s="80" t="n">
        <v>46</v>
      </c>
      <c r="I139" s="80">
        <f>tblStudents[[#This Row],[Internal Marks]]+tblStudents[[#This Row],[External Marks]]</f>
        <v>67</v>
      </c>
      <c r="J139" s="80" t="str">
        <f>IF(AND(tblStudents[[#This Row],[Total Marks]]&gt;=p_PassTotal,tblStudents[[#This Row],[External Marks]]&gt;=p_PassExt),"Pass","Fail")</f>
        <v>Pass</v>
      </c>
      <c r="K139" s="80" t="str">
        <f>IF(tblStudents[[#This Row],[Result]]="Fail","F",INDEX(Lists!$J$4:$J$11,MATCH(tblStudents[[#This Row],[Total Marks]],Lists!$I$4:$I$11,1)))</f>
        <v>B+</v>
      </c>
      <c r="L139" s="81">
        <f>IF(tblStudents[[#This Row],[Result]]="Pass",ROUND(MIN(10,tblStudents[[#This Row],[Total Marks]]/p_SgpaDiv),2),0)</f>
        <v>7.05</v>
      </c>
      <c r="M139" s="82">
        <f>IF(COUNTIFS(tblStudents[[#This Row],[Branch]],cSt_B,tblStudents[[#This Row],[Semester]],cSt_S,tblStudents[[#This Row],[Year]],cSt_Y)=1,tblStudents[[#This Row],[Total Marks]]+ROW()/1000000,"")</f>
        <v>67.000139</v>
      </c>
    </row>
    <row r="140">
      <c r="A140" s="79" t="inlineStr">
        <is>
          <t>STU1136</t>
        </is>
      </c>
      <c r="B140" s="79" t="inlineStr">
        <is>
          <t>Meera Bansal</t>
        </is>
      </c>
      <c r="C140" s="80" t="inlineStr">
        <is>
          <t>F</t>
        </is>
      </c>
      <c r="D140" s="80" t="inlineStr">
        <is>
          <t>ME</t>
        </is>
      </c>
      <c r="E140" s="80" t="n">
        <v>5</v>
      </c>
      <c r="F140" s="80" t="n">
        <v>2023</v>
      </c>
      <c r="G140" s="80" t="n">
        <v>30</v>
      </c>
      <c r="H140" s="80" t="n">
        <v>42</v>
      </c>
      <c r="I140" s="80">
        <f>tblStudents[[#This Row],[Internal Marks]]+tblStudents[[#This Row],[External Marks]]</f>
        <v>72</v>
      </c>
      <c r="J140" s="80" t="str">
        <f>IF(AND(tblStudents[[#This Row],[Total Marks]]&gt;=p_PassTotal,tblStudents[[#This Row],[External Marks]]&gt;=p_PassExt),"Pass","Fail")</f>
        <v>Pass</v>
      </c>
      <c r="K140" s="80" t="str">
        <f>IF(tblStudents[[#This Row],[Result]]="Fail","F",INDEX(Lists!$J$4:$J$11,MATCH(tblStudents[[#This Row],[Total Marks]],Lists!$I$4:$I$11,1)))</f>
        <v>A</v>
      </c>
      <c r="L140" s="81">
        <f>IF(tblStudents[[#This Row],[Result]]="Pass",ROUND(MIN(10,tblStudents[[#This Row],[Total Marks]]/p_SgpaDiv),2),0)</f>
        <v>7.58</v>
      </c>
      <c r="M140" s="82">
        <f>IF(COUNTIFS(tblStudents[[#This Row],[Branch]],cSt_B,tblStudents[[#This Row],[Semester]],cSt_S,tblStudents[[#This Row],[Year]],cSt_Y)=1,tblStudents[[#This Row],[Total Marks]]+ROW()/1000000,"")</f>
        <v>72.00014</v>
      </c>
    </row>
    <row r="141">
      <c r="A141" s="79" t="inlineStr">
        <is>
          <t>STU1137</t>
        </is>
      </c>
      <c r="B141" s="79" t="inlineStr">
        <is>
          <t>Jhanvi Goel</t>
        </is>
      </c>
      <c r="C141" s="80" t="inlineStr">
        <is>
          <t>F</t>
        </is>
      </c>
      <c r="D141" s="80" t="inlineStr">
        <is>
          <t>ECE</t>
        </is>
      </c>
      <c r="E141" s="80" t="n">
        <v>2</v>
      </c>
      <c r="F141" s="80" t="n">
        <v>2024</v>
      </c>
      <c r="G141" s="80" t="n">
        <v>29</v>
      </c>
      <c r="H141" s="80" t="n">
        <v>46</v>
      </c>
      <c r="I141" s="80">
        <f>tblStudents[[#This Row],[Internal Marks]]+tblStudents[[#This Row],[External Marks]]</f>
        <v>75</v>
      </c>
      <c r="J141" s="80" t="str">
        <f>IF(AND(tblStudents[[#This Row],[Total Marks]]&gt;=p_PassTotal,tblStudents[[#This Row],[External Marks]]&gt;=p_PassExt),"Pass","Fail")</f>
        <v>Pass</v>
      </c>
      <c r="K141" s="80" t="str">
        <f>IF(tblStudents[[#This Row],[Result]]="Fail","F",INDEX(Lists!$J$4:$J$11,MATCH(tblStudents[[#This Row],[Total Marks]],Lists!$I$4:$I$11,1)))</f>
        <v>A</v>
      </c>
      <c r="L141" s="81">
        <f>IF(tblStudents[[#This Row],[Result]]="Pass",ROUND(MIN(10,tblStudents[[#This Row],[Total Marks]]/p_SgpaDiv),2),0)</f>
        <v>7.89</v>
      </c>
      <c r="M141" s="82">
        <f>IF(COUNTIFS(tblStudents[[#This Row],[Branch]],cSt_B,tblStudents[[#This Row],[Semester]],cSt_S,tblStudents[[#This Row],[Year]],cSt_Y)=1,tblStudents[[#This Row],[Total Marks]]+ROW()/1000000,"")</f>
        <v>75.000141</v>
      </c>
    </row>
    <row r="142">
      <c r="A142" s="79" t="inlineStr">
        <is>
          <t>STU1138</t>
        </is>
      </c>
      <c r="B142" s="79" t="inlineStr">
        <is>
          <t>Bhavna Siddiqui</t>
        </is>
      </c>
      <c r="C142" s="80" t="inlineStr">
        <is>
          <t>F</t>
        </is>
      </c>
      <c r="D142" s="80" t="inlineStr">
        <is>
          <t>CE</t>
        </is>
      </c>
      <c r="E142" s="80" t="n">
        <v>1</v>
      </c>
      <c r="F142" s="80" t="n">
        <v>2023</v>
      </c>
      <c r="G142" s="80" t="n">
        <v>27</v>
      </c>
      <c r="H142" s="80" t="n">
        <v>39</v>
      </c>
      <c r="I142" s="80">
        <f>tblStudents[[#This Row],[Internal Marks]]+tblStudents[[#This Row],[External Marks]]</f>
        <v>66</v>
      </c>
      <c r="J142" s="80" t="str">
        <f>IF(AND(tblStudents[[#This Row],[Total Marks]]&gt;=p_PassTotal,tblStudents[[#This Row],[External Marks]]&gt;=p_PassExt),"Pass","Fail")</f>
        <v>Pass</v>
      </c>
      <c r="K142" s="80" t="str">
        <f>IF(tblStudents[[#This Row],[Result]]="Fail","F",INDEX(Lists!$J$4:$J$11,MATCH(tblStudents[[#This Row],[Total Marks]],Lists!$I$4:$I$11,1)))</f>
        <v>B+</v>
      </c>
      <c r="L142" s="81">
        <f>IF(tblStudents[[#This Row],[Result]]="Pass",ROUND(MIN(10,tblStudents[[#This Row],[Total Marks]]/p_SgpaDiv),2),0)</f>
        <v>6.95</v>
      </c>
      <c r="M142" s="82">
        <f>IF(COUNTIFS(tblStudents[[#This Row],[Branch]],cSt_B,tblStudents[[#This Row],[Semester]],cSt_S,tblStudents[[#This Row],[Year]],cSt_Y)=1,tblStudents[[#This Row],[Total Marks]]+ROW()/1000000,"")</f>
        <v>66.000142</v>
      </c>
    </row>
    <row r="143">
      <c r="A143" s="79" t="inlineStr">
        <is>
          <t>STU1139</t>
        </is>
      </c>
      <c r="B143" s="79" t="inlineStr">
        <is>
          <t>Utkarsh Mishra</t>
        </is>
      </c>
      <c r="C143" s="80" t="inlineStr">
        <is>
          <t>M</t>
        </is>
      </c>
      <c r="D143" s="80" t="inlineStr">
        <is>
          <t>ECE</t>
        </is>
      </c>
      <c r="E143" s="80" t="n">
        <v>1</v>
      </c>
      <c r="F143" s="80" t="n">
        <v>2024</v>
      </c>
      <c r="G143" s="80" t="n">
        <v>23</v>
      </c>
      <c r="H143" s="80" t="n">
        <v>19</v>
      </c>
      <c r="I143" s="80">
        <f>tblStudents[[#This Row],[Internal Marks]]+tblStudents[[#This Row],[External Marks]]</f>
        <v>42</v>
      </c>
      <c r="J143" s="80" t="str">
        <f>IF(AND(tblStudents[[#This Row],[Total Marks]]&gt;=p_PassTotal,tblStudents[[#This Row],[External Marks]]&gt;=p_PassExt),"Pass","Fail")</f>
        <v>Fail</v>
      </c>
      <c r="K143" s="80" t="str">
        <f>IF(tblStudents[[#This Row],[Result]]="Fail","F",INDEX(Lists!$J$4:$J$11,MATCH(tblStudents[[#This Row],[Total Marks]],Lists!$I$4:$I$11,1)))</f>
        <v>F</v>
      </c>
      <c r="L143" s="81">
        <f>IF(tblStudents[[#This Row],[Result]]="Pass",ROUND(MIN(10,tblStudents[[#This Row],[Total Marks]]/p_SgpaDiv),2),0)</f>
        <v>0</v>
      </c>
      <c r="M143" s="82">
        <f>IF(COUNTIFS(tblStudents[[#This Row],[Branch]],cSt_B,tblStudents[[#This Row],[Semester]],cSt_S,tblStudents[[#This Row],[Year]],cSt_Y)=1,tblStudents[[#This Row],[Total Marks]]+ROW()/1000000,"")</f>
        <v>42.000143</v>
      </c>
    </row>
    <row r="144">
      <c r="A144" s="79" t="inlineStr">
        <is>
          <t>STU1140</t>
        </is>
      </c>
      <c r="B144" s="79" t="inlineStr">
        <is>
          <t>Nikhil Gupta</t>
        </is>
      </c>
      <c r="C144" s="80" t="inlineStr">
        <is>
          <t>M</t>
        </is>
      </c>
      <c r="D144" s="80" t="inlineStr">
        <is>
          <t>ECE</t>
        </is>
      </c>
      <c r="E144" s="80" t="n">
        <v>8</v>
      </c>
      <c r="F144" s="80" t="n">
        <v>2026</v>
      </c>
      <c r="G144" s="80" t="n">
        <v>26</v>
      </c>
      <c r="H144" s="80" t="n">
        <v>33</v>
      </c>
      <c r="I144" s="80">
        <f>tblStudents[[#This Row],[Internal Marks]]+tblStudents[[#This Row],[External Marks]]</f>
        <v>59</v>
      </c>
      <c r="J144" s="80" t="str">
        <f>IF(AND(tblStudents[[#This Row],[Total Marks]]&gt;=p_PassTotal,tblStudents[[#This Row],[External Marks]]&gt;=p_PassExt),"Pass","Fail")</f>
        <v>Pass</v>
      </c>
      <c r="K144" s="80" t="str">
        <f>IF(tblStudents[[#This Row],[Result]]="Fail","F",INDEX(Lists!$J$4:$J$11,MATCH(tblStudents[[#This Row],[Total Marks]],Lists!$I$4:$I$11,1)))</f>
        <v>B</v>
      </c>
      <c r="L144" s="81">
        <f>IF(tblStudents[[#This Row],[Result]]="Pass",ROUND(MIN(10,tblStudents[[#This Row],[Total Marks]]/p_SgpaDiv),2),0)</f>
        <v>6.21</v>
      </c>
      <c r="M144" s="82">
        <f>IF(COUNTIFS(tblStudents[[#This Row],[Branch]],cSt_B,tblStudents[[#This Row],[Semester]],cSt_S,tblStudents[[#This Row],[Year]],cSt_Y)=1,tblStudents[[#This Row],[Total Marks]]+ROW()/1000000,"")</f>
        <v>59.000144</v>
      </c>
    </row>
    <row r="145">
      <c r="A145" s="79" t="inlineStr">
        <is>
          <t>STU1141</t>
        </is>
      </c>
      <c r="B145" s="79" t="inlineStr">
        <is>
          <t>Bhavna Kumar</t>
        </is>
      </c>
      <c r="C145" s="80" t="inlineStr">
        <is>
          <t>F</t>
        </is>
      </c>
      <c r="D145" s="80" t="inlineStr">
        <is>
          <t>IT</t>
        </is>
      </c>
      <c r="E145" s="80" t="n">
        <v>5</v>
      </c>
      <c r="F145" s="80" t="n">
        <v>2026</v>
      </c>
      <c r="G145" s="80" t="n">
        <v>29</v>
      </c>
      <c r="H145" s="80" t="n">
        <v>44</v>
      </c>
      <c r="I145" s="80">
        <f>tblStudents[[#This Row],[Internal Marks]]+tblStudents[[#This Row],[External Marks]]</f>
        <v>73</v>
      </c>
      <c r="J145" s="80" t="str">
        <f>IF(AND(tblStudents[[#This Row],[Total Marks]]&gt;=p_PassTotal,tblStudents[[#This Row],[External Marks]]&gt;=p_PassExt),"Pass","Fail")</f>
        <v>Pass</v>
      </c>
      <c r="K145" s="80" t="str">
        <f>IF(tblStudents[[#This Row],[Result]]="Fail","F",INDEX(Lists!$J$4:$J$11,MATCH(tblStudents[[#This Row],[Total Marks]],Lists!$I$4:$I$11,1)))</f>
        <v>A</v>
      </c>
      <c r="L145" s="81">
        <f>IF(tblStudents[[#This Row],[Result]]="Pass",ROUND(MIN(10,tblStudents[[#This Row],[Total Marks]]/p_SgpaDiv),2),0)</f>
        <v>7.68</v>
      </c>
      <c r="M145" s="82">
        <f>IF(COUNTIFS(tblStudents[[#This Row],[Branch]],cSt_B,tblStudents[[#This Row],[Semester]],cSt_S,tblStudents[[#This Row],[Year]],cSt_Y)=1,tblStudents[[#This Row],[Total Marks]]+ROW()/1000000,"")</f>
        <v>73.000145</v>
      </c>
    </row>
    <row r="146">
      <c r="A146" s="79" t="inlineStr">
        <is>
          <t>STU1142</t>
        </is>
      </c>
      <c r="B146" s="79" t="inlineStr">
        <is>
          <t>Arjun Malik</t>
        </is>
      </c>
      <c r="C146" s="80" t="inlineStr">
        <is>
          <t>M</t>
        </is>
      </c>
      <c r="D146" s="80" t="inlineStr">
        <is>
          <t>CSE</t>
        </is>
      </c>
      <c r="E146" s="80" t="n">
        <v>4</v>
      </c>
      <c r="F146" s="80" t="n">
        <v>2023</v>
      </c>
      <c r="G146" s="80" t="n">
        <v>31</v>
      </c>
      <c r="H146" s="80" t="n">
        <v>42</v>
      </c>
      <c r="I146" s="80">
        <f>tblStudents[[#This Row],[Internal Marks]]+tblStudents[[#This Row],[External Marks]]</f>
        <v>73</v>
      </c>
      <c r="J146" s="80" t="str">
        <f>IF(AND(tblStudents[[#This Row],[Total Marks]]&gt;=p_PassTotal,tblStudents[[#This Row],[External Marks]]&gt;=p_PassExt),"Pass","Fail")</f>
        <v>Pass</v>
      </c>
      <c r="K146" s="80" t="str">
        <f>IF(tblStudents[[#This Row],[Result]]="Fail","F",INDEX(Lists!$J$4:$J$11,MATCH(tblStudents[[#This Row],[Total Marks]],Lists!$I$4:$I$11,1)))</f>
        <v>A</v>
      </c>
      <c r="L146" s="81">
        <f>IF(tblStudents[[#This Row],[Result]]="Pass",ROUND(MIN(10,tblStudents[[#This Row],[Total Marks]]/p_SgpaDiv),2),0)</f>
        <v>7.68</v>
      </c>
      <c r="M146" s="82">
        <f>IF(COUNTIFS(tblStudents[[#This Row],[Branch]],cSt_B,tblStudents[[#This Row],[Semester]],cSt_S,tblStudents[[#This Row],[Year]],cSt_Y)=1,tblStudents[[#This Row],[Total Marks]]+ROW()/1000000,"")</f>
        <v>73.000146</v>
      </c>
    </row>
    <row r="147">
      <c r="A147" s="79" t="inlineStr">
        <is>
          <t>STU1143</t>
        </is>
      </c>
      <c r="B147" s="79" t="inlineStr">
        <is>
          <t>Pooja Patel</t>
        </is>
      </c>
      <c r="C147" s="80" t="inlineStr">
        <is>
          <t>F</t>
        </is>
      </c>
      <c r="D147" s="80" t="inlineStr">
        <is>
          <t>ME</t>
        </is>
      </c>
      <c r="E147" s="80" t="n">
        <v>6</v>
      </c>
      <c r="F147" s="80" t="n">
        <v>2025</v>
      </c>
      <c r="G147" s="80" t="n">
        <v>32</v>
      </c>
      <c r="H147" s="80" t="n">
        <v>46</v>
      </c>
      <c r="I147" s="80">
        <f>tblStudents[[#This Row],[Internal Marks]]+tblStudents[[#This Row],[External Marks]]</f>
        <v>78</v>
      </c>
      <c r="J147" s="80" t="str">
        <f>IF(AND(tblStudents[[#This Row],[Total Marks]]&gt;=p_PassTotal,tblStudents[[#This Row],[External Marks]]&gt;=p_PassExt),"Pass","Fail")</f>
        <v>Pass</v>
      </c>
      <c r="K147" s="80" t="str">
        <f>IF(tblStudents[[#This Row],[Result]]="Fail","F",INDEX(Lists!$J$4:$J$11,MATCH(tblStudents[[#This Row],[Total Marks]],Lists!$I$4:$I$11,1)))</f>
        <v>A</v>
      </c>
      <c r="L147" s="81">
        <f>IF(tblStudents[[#This Row],[Result]]="Pass",ROUND(MIN(10,tblStudents[[#This Row],[Total Marks]]/p_SgpaDiv),2),0)</f>
        <v>8.21</v>
      </c>
      <c r="M147" s="82">
        <f>IF(COUNTIFS(tblStudents[[#This Row],[Branch]],cSt_B,tblStudents[[#This Row],[Semester]],cSt_S,tblStudents[[#This Row],[Year]],cSt_Y)=1,tblStudents[[#This Row],[Total Marks]]+ROW()/1000000,"")</f>
        <v>78.000147</v>
      </c>
    </row>
    <row r="148">
      <c r="A148" s="79" t="inlineStr">
        <is>
          <t>STU1144</t>
        </is>
      </c>
      <c r="B148" s="79" t="inlineStr">
        <is>
          <t>Srishti Gupta</t>
        </is>
      </c>
      <c r="C148" s="80" t="inlineStr">
        <is>
          <t>F</t>
        </is>
      </c>
      <c r="D148" s="80" t="inlineStr">
        <is>
          <t>ME</t>
        </is>
      </c>
      <c r="E148" s="80" t="n">
        <v>2</v>
      </c>
      <c r="F148" s="80" t="n">
        <v>2024</v>
      </c>
      <c r="G148" s="80" t="n">
        <v>27</v>
      </c>
      <c r="H148" s="80" t="n">
        <v>26</v>
      </c>
      <c r="I148" s="80">
        <f>tblStudents[[#This Row],[Internal Marks]]+tblStudents[[#This Row],[External Marks]]</f>
        <v>53</v>
      </c>
      <c r="J148" s="80" t="str">
        <f>IF(AND(tblStudents[[#This Row],[Total Marks]]&gt;=p_PassTotal,tblStudents[[#This Row],[External Marks]]&gt;=p_PassExt),"Pass","Fail")</f>
        <v>Pass</v>
      </c>
      <c r="K148" s="80" t="str">
        <f>IF(tblStudents[[#This Row],[Result]]="Fail","F",INDEX(Lists!$J$4:$J$11,MATCH(tblStudents[[#This Row],[Total Marks]],Lists!$I$4:$I$11,1)))</f>
        <v>B</v>
      </c>
      <c r="L148" s="81">
        <f>IF(tblStudents[[#This Row],[Result]]="Pass",ROUND(MIN(10,tblStudents[[#This Row],[Total Marks]]/p_SgpaDiv),2),0)</f>
        <v>5.58</v>
      </c>
      <c r="M148" s="82">
        <f>IF(COUNTIFS(tblStudents[[#This Row],[Branch]],cSt_B,tblStudents[[#This Row],[Semester]],cSt_S,tblStudents[[#This Row],[Year]],cSt_Y)=1,tblStudents[[#This Row],[Total Marks]]+ROW()/1000000,"")</f>
        <v>53.000148</v>
      </c>
    </row>
    <row r="149">
      <c r="A149" s="79" t="inlineStr">
        <is>
          <t>STU1145</t>
        </is>
      </c>
      <c r="B149" s="79" t="inlineStr">
        <is>
          <t>Yash Banerjee</t>
        </is>
      </c>
      <c r="C149" s="80" t="inlineStr">
        <is>
          <t>M</t>
        </is>
      </c>
      <c r="D149" s="80" t="inlineStr">
        <is>
          <t>ME</t>
        </is>
      </c>
      <c r="E149" s="80" t="n">
        <v>3</v>
      </c>
      <c r="F149" s="80" t="n">
        <v>2024</v>
      </c>
      <c r="G149" s="80" t="n">
        <v>34</v>
      </c>
      <c r="H149" s="80" t="n">
        <v>55</v>
      </c>
      <c r="I149" s="80">
        <f>tblStudents[[#This Row],[Internal Marks]]+tblStudents[[#This Row],[External Marks]]</f>
        <v>89</v>
      </c>
      <c r="J149" s="80" t="str">
        <f>IF(AND(tblStudents[[#This Row],[Total Marks]]&gt;=p_PassTotal,tblStudents[[#This Row],[External Marks]]&gt;=p_PassExt),"Pass","Fail")</f>
        <v>Pass</v>
      </c>
      <c r="K149" s="80" t="str">
        <f>IF(tblStudents[[#This Row],[Result]]="Fail","F",INDEX(Lists!$J$4:$J$11,MATCH(tblStudents[[#This Row],[Total Marks]],Lists!$I$4:$I$11,1)))</f>
        <v>A+</v>
      </c>
      <c r="L149" s="81">
        <f>IF(tblStudents[[#This Row],[Result]]="Pass",ROUND(MIN(10,tblStudents[[#This Row],[Total Marks]]/p_SgpaDiv),2),0)</f>
        <v>9.37</v>
      </c>
      <c r="M149" s="82">
        <f>IF(COUNTIFS(tblStudents[[#This Row],[Branch]],cSt_B,tblStudents[[#This Row],[Semester]],cSt_S,tblStudents[[#This Row],[Year]],cSt_Y)=1,tblStudents[[#This Row],[Total Marks]]+ROW()/1000000,"")</f>
        <v>89.000149</v>
      </c>
    </row>
    <row r="150">
      <c r="A150" s="79" t="inlineStr">
        <is>
          <t>STU1146</t>
        </is>
      </c>
      <c r="B150" s="79" t="inlineStr">
        <is>
          <t>Neha Pandey</t>
        </is>
      </c>
      <c r="C150" s="80" t="inlineStr">
        <is>
          <t>F</t>
        </is>
      </c>
      <c r="D150" s="80" t="inlineStr">
        <is>
          <t>IT</t>
        </is>
      </c>
      <c r="E150" s="80" t="n">
        <v>2</v>
      </c>
      <c r="F150" s="80" t="n">
        <v>2026</v>
      </c>
      <c r="G150" s="80" t="n">
        <v>33</v>
      </c>
      <c r="H150" s="80" t="n">
        <v>55</v>
      </c>
      <c r="I150" s="80">
        <f>tblStudents[[#This Row],[Internal Marks]]+tblStudents[[#This Row],[External Marks]]</f>
        <v>88</v>
      </c>
      <c r="J150" s="80" t="str">
        <f>IF(AND(tblStudents[[#This Row],[Total Marks]]&gt;=p_PassTotal,tblStudents[[#This Row],[External Marks]]&gt;=p_PassExt),"Pass","Fail")</f>
        <v>Pass</v>
      </c>
      <c r="K150" s="80" t="str">
        <f>IF(tblStudents[[#This Row],[Result]]="Fail","F",INDEX(Lists!$J$4:$J$11,MATCH(tblStudents[[#This Row],[Total Marks]],Lists!$I$4:$I$11,1)))</f>
        <v>A+</v>
      </c>
      <c r="L150" s="81">
        <f>IF(tblStudents[[#This Row],[Result]]="Pass",ROUND(MIN(10,tblStudents[[#This Row],[Total Marks]]/p_SgpaDiv),2),0)</f>
        <v>9.26</v>
      </c>
      <c r="M150" s="82">
        <f>IF(COUNTIFS(tblStudents[[#This Row],[Branch]],cSt_B,tblStudents[[#This Row],[Semester]],cSt_S,tblStudents[[#This Row],[Year]],cSt_Y)=1,tblStudents[[#This Row],[Total Marks]]+ROW()/1000000,"")</f>
        <v>88.00015</v>
      </c>
    </row>
    <row r="151">
      <c r="A151" s="79" t="inlineStr">
        <is>
          <t>STU1147</t>
        </is>
      </c>
      <c r="B151" s="79" t="inlineStr">
        <is>
          <t>Ankit Banerjee</t>
        </is>
      </c>
      <c r="C151" s="80" t="inlineStr">
        <is>
          <t>M</t>
        </is>
      </c>
      <c r="D151" s="80" t="inlineStr">
        <is>
          <t>IT</t>
        </is>
      </c>
      <c r="E151" s="80" t="n">
        <v>7</v>
      </c>
      <c r="F151" s="80" t="n">
        <v>2026</v>
      </c>
      <c r="G151" s="80" t="n">
        <v>27</v>
      </c>
      <c r="H151" s="80" t="n">
        <v>41</v>
      </c>
      <c r="I151" s="80">
        <f>tblStudents[[#This Row],[Internal Marks]]+tblStudents[[#This Row],[External Marks]]</f>
        <v>68</v>
      </c>
      <c r="J151" s="80" t="str">
        <f>IF(AND(tblStudents[[#This Row],[Total Marks]]&gt;=p_PassTotal,tblStudents[[#This Row],[External Marks]]&gt;=p_PassExt),"Pass","Fail")</f>
        <v>Pass</v>
      </c>
      <c r="K151" s="80" t="str">
        <f>IF(tblStudents[[#This Row],[Result]]="Fail","F",INDEX(Lists!$J$4:$J$11,MATCH(tblStudents[[#This Row],[Total Marks]],Lists!$I$4:$I$11,1)))</f>
        <v>B+</v>
      </c>
      <c r="L151" s="81">
        <f>IF(tblStudents[[#This Row],[Result]]="Pass",ROUND(MIN(10,tblStudents[[#This Row],[Total Marks]]/p_SgpaDiv),2),0)</f>
        <v>7.16</v>
      </c>
      <c r="M151" s="82">
        <f>IF(COUNTIFS(tblStudents[[#This Row],[Branch]],cSt_B,tblStudents[[#This Row],[Semester]],cSt_S,tblStudents[[#This Row],[Year]],cSt_Y)=1,tblStudents[[#This Row],[Total Marks]]+ROW()/1000000,"")</f>
        <v>68.000151</v>
      </c>
    </row>
    <row r="152">
      <c r="A152" s="79" t="inlineStr">
        <is>
          <t>STU1148</t>
        </is>
      </c>
      <c r="B152" s="79" t="inlineStr">
        <is>
          <t>Yash Mishra</t>
        </is>
      </c>
      <c r="C152" s="80" t="inlineStr">
        <is>
          <t>M</t>
        </is>
      </c>
      <c r="D152" s="80" t="inlineStr">
        <is>
          <t>ECE</t>
        </is>
      </c>
      <c r="E152" s="80" t="n">
        <v>7</v>
      </c>
      <c r="F152" s="80" t="n">
        <v>2024</v>
      </c>
      <c r="G152" s="80" t="n">
        <v>32</v>
      </c>
      <c r="H152" s="80" t="n">
        <v>38</v>
      </c>
      <c r="I152" s="80">
        <f>tblStudents[[#This Row],[Internal Marks]]+tblStudents[[#This Row],[External Marks]]</f>
        <v>70</v>
      </c>
      <c r="J152" s="80" t="str">
        <f>IF(AND(tblStudents[[#This Row],[Total Marks]]&gt;=p_PassTotal,tblStudents[[#This Row],[External Marks]]&gt;=p_PassExt),"Pass","Fail")</f>
        <v>Pass</v>
      </c>
      <c r="K152" s="80" t="str">
        <f>IF(tblStudents[[#This Row],[Result]]="Fail","F",INDEX(Lists!$J$4:$J$11,MATCH(tblStudents[[#This Row],[Total Marks]],Lists!$I$4:$I$11,1)))</f>
        <v>A</v>
      </c>
      <c r="L152" s="81">
        <f>IF(tblStudents[[#This Row],[Result]]="Pass",ROUND(MIN(10,tblStudents[[#This Row],[Total Marks]]/p_SgpaDiv),2),0)</f>
        <v>7.37</v>
      </c>
      <c r="M152" s="82">
        <f>IF(COUNTIFS(tblStudents[[#This Row],[Branch]],cSt_B,tblStudents[[#This Row],[Semester]],cSt_S,tblStudents[[#This Row],[Year]],cSt_Y)=1,tblStudents[[#This Row],[Total Marks]]+ROW()/1000000,"")</f>
        <v>70.000152</v>
      </c>
    </row>
    <row r="153">
      <c r="A153" s="79" t="inlineStr">
        <is>
          <t>STU1149</t>
        </is>
      </c>
      <c r="B153" s="79" t="inlineStr">
        <is>
          <t>Deepak Siddiqui</t>
        </is>
      </c>
      <c r="C153" s="80" t="inlineStr">
        <is>
          <t>M</t>
        </is>
      </c>
      <c r="D153" s="80" t="inlineStr">
        <is>
          <t>CE</t>
        </is>
      </c>
      <c r="E153" s="80" t="n">
        <v>3</v>
      </c>
      <c r="F153" s="80" t="n">
        <v>2025</v>
      </c>
      <c r="G153" s="80" t="n">
        <v>36</v>
      </c>
      <c r="H153" s="80" t="n">
        <v>60</v>
      </c>
      <c r="I153" s="80">
        <f>tblStudents[[#This Row],[Internal Marks]]+tblStudents[[#This Row],[External Marks]]</f>
        <v>96</v>
      </c>
      <c r="J153" s="80" t="str">
        <f>IF(AND(tblStudents[[#This Row],[Total Marks]]&gt;=p_PassTotal,tblStudents[[#This Row],[External Marks]]&gt;=p_PassExt),"Pass","Fail")</f>
        <v>Pass</v>
      </c>
      <c r="K153" s="80" t="str">
        <f>IF(tblStudents[[#This Row],[Result]]="Fail","F",INDEX(Lists!$J$4:$J$11,MATCH(tblStudents[[#This Row],[Total Marks]],Lists!$I$4:$I$11,1)))</f>
        <v>O</v>
      </c>
      <c r="L153" s="81">
        <f>IF(tblStudents[[#This Row],[Result]]="Pass",ROUND(MIN(10,tblStudents[[#This Row],[Total Marks]]/p_SgpaDiv),2),0)</f>
        <v>10</v>
      </c>
      <c r="M153" s="82">
        <f>IF(COUNTIFS(tblStudents[[#This Row],[Branch]],cSt_B,tblStudents[[#This Row],[Semester]],cSt_S,tblStudents[[#This Row],[Year]],cSt_Y)=1,tblStudents[[#This Row],[Total Marks]]+ROW()/1000000,"")</f>
        <v>96.000153</v>
      </c>
    </row>
    <row r="154">
      <c r="A154" s="79" t="inlineStr">
        <is>
          <t>STU1150</t>
        </is>
      </c>
      <c r="B154" s="79" t="inlineStr">
        <is>
          <t>Tanvi Rastogi</t>
        </is>
      </c>
      <c r="C154" s="80" t="inlineStr">
        <is>
          <t>F</t>
        </is>
      </c>
      <c r="D154" s="80" t="inlineStr">
        <is>
          <t>CE</t>
        </is>
      </c>
      <c r="E154" s="80" t="n">
        <v>7</v>
      </c>
      <c r="F154" s="80" t="n">
        <v>2026</v>
      </c>
      <c r="G154" s="80" t="n">
        <v>21</v>
      </c>
      <c r="H154" s="80" t="n">
        <v>17</v>
      </c>
      <c r="I154" s="80">
        <f>tblStudents[[#This Row],[Internal Marks]]+tblStudents[[#This Row],[External Marks]]</f>
        <v>38</v>
      </c>
      <c r="J154" s="80" t="str">
        <f>IF(AND(tblStudents[[#This Row],[Total Marks]]&gt;=p_PassTotal,tblStudents[[#This Row],[External Marks]]&gt;=p_PassExt),"Pass","Fail")</f>
        <v>Fail</v>
      </c>
      <c r="K154" s="80" t="str">
        <f>IF(tblStudents[[#This Row],[Result]]="Fail","F",INDEX(Lists!$J$4:$J$11,MATCH(tblStudents[[#This Row],[Total Marks]],Lists!$I$4:$I$11,1)))</f>
        <v>F</v>
      </c>
      <c r="L154" s="81">
        <f>IF(tblStudents[[#This Row],[Result]]="Pass",ROUND(MIN(10,tblStudents[[#This Row],[Total Marks]]/p_SgpaDiv),2),0)</f>
        <v>0</v>
      </c>
      <c r="M154" s="82">
        <f>IF(COUNTIFS(tblStudents[[#This Row],[Branch]],cSt_B,tblStudents[[#This Row],[Semester]],cSt_S,tblStudents[[#This Row],[Year]],cSt_Y)=1,tblStudents[[#This Row],[Total Marks]]+ROW()/1000000,"")</f>
        <v>38.000154</v>
      </c>
    </row>
    <row r="155">
      <c r="A155" s="79" t="inlineStr">
        <is>
          <t>STU1151</t>
        </is>
      </c>
      <c r="B155" s="79" t="inlineStr">
        <is>
          <t>Parth Chauhan</t>
        </is>
      </c>
      <c r="C155" s="80" t="inlineStr">
        <is>
          <t>M</t>
        </is>
      </c>
      <c r="D155" s="80" t="inlineStr">
        <is>
          <t>CSE</t>
        </is>
      </c>
      <c r="E155" s="80" t="n">
        <v>3</v>
      </c>
      <c r="F155" s="80" t="n">
        <v>2025</v>
      </c>
      <c r="G155" s="80" t="n">
        <v>31</v>
      </c>
      <c r="H155" s="80" t="n">
        <v>46</v>
      </c>
      <c r="I155" s="80">
        <f>tblStudents[[#This Row],[Internal Marks]]+tblStudents[[#This Row],[External Marks]]</f>
        <v>77</v>
      </c>
      <c r="J155" s="80" t="str">
        <f>IF(AND(tblStudents[[#This Row],[Total Marks]]&gt;=p_PassTotal,tblStudents[[#This Row],[External Marks]]&gt;=p_PassExt),"Pass","Fail")</f>
        <v>Pass</v>
      </c>
      <c r="K155" s="80" t="str">
        <f>IF(tblStudents[[#This Row],[Result]]="Fail","F",INDEX(Lists!$J$4:$J$11,MATCH(tblStudents[[#This Row],[Total Marks]],Lists!$I$4:$I$11,1)))</f>
        <v>A</v>
      </c>
      <c r="L155" s="81">
        <f>IF(tblStudents[[#This Row],[Result]]="Pass",ROUND(MIN(10,tblStudents[[#This Row],[Total Marks]]/p_SgpaDiv),2),0)</f>
        <v>8.11</v>
      </c>
      <c r="M155" s="82">
        <f>IF(COUNTIFS(tblStudents[[#This Row],[Branch]],cSt_B,tblStudents[[#This Row],[Semester]],cSt_S,tblStudents[[#This Row],[Year]],cSt_Y)=1,tblStudents[[#This Row],[Total Marks]]+ROW()/1000000,"")</f>
        <v>77.000155</v>
      </c>
    </row>
    <row r="156">
      <c r="A156" s="79" t="inlineStr">
        <is>
          <t>STU1152</t>
        </is>
      </c>
      <c r="B156" s="79" t="inlineStr">
        <is>
          <t>Varun Verma</t>
        </is>
      </c>
      <c r="C156" s="80" t="inlineStr">
        <is>
          <t>M</t>
        </is>
      </c>
      <c r="D156" s="80" t="inlineStr">
        <is>
          <t>CE</t>
        </is>
      </c>
      <c r="E156" s="80" t="n">
        <v>6</v>
      </c>
      <c r="F156" s="80" t="n">
        <v>2023</v>
      </c>
      <c r="G156" s="80" t="n">
        <v>20</v>
      </c>
      <c r="H156" s="80" t="n">
        <v>43</v>
      </c>
      <c r="I156" s="80">
        <f>tblStudents[[#This Row],[Internal Marks]]+tblStudents[[#This Row],[External Marks]]</f>
        <v>63</v>
      </c>
      <c r="J156" s="80" t="str">
        <f>IF(AND(tblStudents[[#This Row],[Total Marks]]&gt;=p_PassTotal,tblStudents[[#This Row],[External Marks]]&gt;=p_PassExt),"Pass","Fail")</f>
        <v>Pass</v>
      </c>
      <c r="K156" s="80" t="str">
        <f>IF(tblStudents[[#This Row],[Result]]="Fail","F",INDEX(Lists!$J$4:$J$11,MATCH(tblStudents[[#This Row],[Total Marks]],Lists!$I$4:$I$11,1)))</f>
        <v>B+</v>
      </c>
      <c r="L156" s="81">
        <f>IF(tblStudents[[#This Row],[Result]]="Pass",ROUND(MIN(10,tblStudents[[#This Row],[Total Marks]]/p_SgpaDiv),2),0)</f>
        <v>6.63</v>
      </c>
      <c r="M156" s="82">
        <f>IF(COUNTIFS(tblStudents[[#This Row],[Branch]],cSt_B,tblStudents[[#This Row],[Semester]],cSt_S,tblStudents[[#This Row],[Year]],cSt_Y)=1,tblStudents[[#This Row],[Total Marks]]+ROW()/1000000,"")</f>
        <v>63.000156</v>
      </c>
    </row>
    <row r="157">
      <c r="A157" s="79" t="inlineStr">
        <is>
          <t>STU1153</t>
        </is>
      </c>
      <c r="B157" s="79" t="inlineStr">
        <is>
          <t>Ananya Malik</t>
        </is>
      </c>
      <c r="C157" s="80" t="inlineStr">
        <is>
          <t>F</t>
        </is>
      </c>
      <c r="D157" s="80" t="inlineStr">
        <is>
          <t>CSE</t>
        </is>
      </c>
      <c r="E157" s="80" t="n">
        <v>2</v>
      </c>
      <c r="F157" s="80" t="n">
        <v>2026</v>
      </c>
      <c r="G157" s="80" t="n">
        <v>29</v>
      </c>
      <c r="H157" s="80" t="n">
        <v>50</v>
      </c>
      <c r="I157" s="80">
        <f>tblStudents[[#This Row],[Internal Marks]]+tblStudents[[#This Row],[External Marks]]</f>
        <v>79</v>
      </c>
      <c r="J157" s="80" t="str">
        <f>IF(AND(tblStudents[[#This Row],[Total Marks]]&gt;=p_PassTotal,tblStudents[[#This Row],[External Marks]]&gt;=p_PassExt),"Pass","Fail")</f>
        <v>Pass</v>
      </c>
      <c r="K157" s="80" t="str">
        <f>IF(tblStudents[[#This Row],[Result]]="Fail","F",INDEX(Lists!$J$4:$J$11,MATCH(tblStudents[[#This Row],[Total Marks]],Lists!$I$4:$I$11,1)))</f>
        <v>A</v>
      </c>
      <c r="L157" s="81">
        <f>IF(tblStudents[[#This Row],[Result]]="Pass",ROUND(MIN(10,tblStudents[[#This Row],[Total Marks]]/p_SgpaDiv),2),0)</f>
        <v>8.32</v>
      </c>
      <c r="M157" s="82">
        <f>IF(COUNTIFS(tblStudents[[#This Row],[Branch]],cSt_B,tblStudents[[#This Row],[Semester]],cSt_S,tblStudents[[#This Row],[Year]],cSt_Y)=1,tblStudents[[#This Row],[Total Marks]]+ROW()/1000000,"")</f>
        <v>79.000157</v>
      </c>
    </row>
    <row r="158">
      <c r="A158" s="79" t="inlineStr">
        <is>
          <t>STU1154</t>
        </is>
      </c>
      <c r="B158" s="79" t="inlineStr">
        <is>
          <t>Anjali Nair</t>
        </is>
      </c>
      <c r="C158" s="80" t="inlineStr">
        <is>
          <t>F</t>
        </is>
      </c>
      <c r="D158" s="80" t="inlineStr">
        <is>
          <t>ME</t>
        </is>
      </c>
      <c r="E158" s="80" t="n">
        <v>7</v>
      </c>
      <c r="F158" s="80" t="n">
        <v>2024</v>
      </c>
      <c r="G158" s="80" t="n">
        <v>31</v>
      </c>
      <c r="H158" s="80" t="n">
        <v>43</v>
      </c>
      <c r="I158" s="80">
        <f>tblStudents[[#This Row],[Internal Marks]]+tblStudents[[#This Row],[External Marks]]</f>
        <v>74</v>
      </c>
      <c r="J158" s="80" t="str">
        <f>IF(AND(tblStudents[[#This Row],[Total Marks]]&gt;=p_PassTotal,tblStudents[[#This Row],[External Marks]]&gt;=p_PassExt),"Pass","Fail")</f>
        <v>Pass</v>
      </c>
      <c r="K158" s="80" t="str">
        <f>IF(tblStudents[[#This Row],[Result]]="Fail","F",INDEX(Lists!$J$4:$J$11,MATCH(tblStudents[[#This Row],[Total Marks]],Lists!$I$4:$I$11,1)))</f>
        <v>A</v>
      </c>
      <c r="L158" s="81">
        <f>IF(tblStudents[[#This Row],[Result]]="Pass",ROUND(MIN(10,tblStudents[[#This Row],[Total Marks]]/p_SgpaDiv),2),0)</f>
        <v>7.79</v>
      </c>
      <c r="M158" s="82">
        <f>IF(COUNTIFS(tblStudents[[#This Row],[Branch]],cSt_B,tblStudents[[#This Row],[Semester]],cSt_S,tblStudents[[#This Row],[Year]],cSt_Y)=1,tblStudents[[#This Row],[Total Marks]]+ROW()/1000000,"")</f>
        <v>74.000158</v>
      </c>
    </row>
    <row r="159">
      <c r="A159" s="79" t="inlineStr">
        <is>
          <t>STU1155</t>
        </is>
      </c>
      <c r="B159" s="79" t="inlineStr">
        <is>
          <t>Varun Iyer</t>
        </is>
      </c>
      <c r="C159" s="80" t="inlineStr">
        <is>
          <t>M</t>
        </is>
      </c>
      <c r="D159" s="80" t="inlineStr">
        <is>
          <t>CE</t>
        </is>
      </c>
      <c r="E159" s="80" t="n">
        <v>3</v>
      </c>
      <c r="F159" s="80" t="n">
        <v>2023</v>
      </c>
      <c r="G159" s="80" t="n">
        <v>20</v>
      </c>
      <c r="H159" s="80" t="n">
        <v>32</v>
      </c>
      <c r="I159" s="80">
        <f>tblStudents[[#This Row],[Internal Marks]]+tblStudents[[#This Row],[External Marks]]</f>
        <v>52</v>
      </c>
      <c r="J159" s="80" t="str">
        <f>IF(AND(tblStudents[[#This Row],[Total Marks]]&gt;=p_PassTotal,tblStudents[[#This Row],[External Marks]]&gt;=p_PassExt),"Pass","Fail")</f>
        <v>Pass</v>
      </c>
      <c r="K159" s="80" t="str">
        <f>IF(tblStudents[[#This Row],[Result]]="Fail","F",INDEX(Lists!$J$4:$J$11,MATCH(tblStudents[[#This Row],[Total Marks]],Lists!$I$4:$I$11,1)))</f>
        <v>B</v>
      </c>
      <c r="L159" s="81">
        <f>IF(tblStudents[[#This Row],[Result]]="Pass",ROUND(MIN(10,tblStudents[[#This Row],[Total Marks]]/p_SgpaDiv),2),0)</f>
        <v>5.47</v>
      </c>
      <c r="M159" s="82">
        <f>IF(COUNTIFS(tblStudents[[#This Row],[Branch]],cSt_B,tblStudents[[#This Row],[Semester]],cSt_S,tblStudents[[#This Row],[Year]],cSt_Y)=1,tblStudents[[#This Row],[Total Marks]]+ROW()/1000000,"")</f>
        <v>52.000159</v>
      </c>
    </row>
    <row r="160">
      <c r="A160" s="79" t="inlineStr">
        <is>
          <t>STU1156</t>
        </is>
      </c>
      <c r="B160" s="79" t="inlineStr">
        <is>
          <t>Bhavna Singh</t>
        </is>
      </c>
      <c r="C160" s="80" t="inlineStr">
        <is>
          <t>F</t>
        </is>
      </c>
      <c r="D160" s="80" t="inlineStr">
        <is>
          <t>ECE</t>
        </is>
      </c>
      <c r="E160" s="80" t="n">
        <v>1</v>
      </c>
      <c r="F160" s="80" t="n">
        <v>2024</v>
      </c>
      <c r="G160" s="80" t="n">
        <v>28</v>
      </c>
      <c r="H160" s="80" t="n">
        <v>43</v>
      </c>
      <c r="I160" s="80">
        <f>tblStudents[[#This Row],[Internal Marks]]+tblStudents[[#This Row],[External Marks]]</f>
        <v>71</v>
      </c>
      <c r="J160" s="80" t="str">
        <f>IF(AND(tblStudents[[#This Row],[Total Marks]]&gt;=p_PassTotal,tblStudents[[#This Row],[External Marks]]&gt;=p_PassExt),"Pass","Fail")</f>
        <v>Pass</v>
      </c>
      <c r="K160" s="80" t="str">
        <f>IF(tblStudents[[#This Row],[Result]]="Fail","F",INDEX(Lists!$J$4:$J$11,MATCH(tblStudents[[#This Row],[Total Marks]],Lists!$I$4:$I$11,1)))</f>
        <v>A</v>
      </c>
      <c r="L160" s="81">
        <f>IF(tblStudents[[#This Row],[Result]]="Pass",ROUND(MIN(10,tblStudents[[#This Row],[Total Marks]]/p_SgpaDiv),2),0)</f>
        <v>7.47</v>
      </c>
      <c r="M160" s="82">
        <f>IF(COUNTIFS(tblStudents[[#This Row],[Branch]],cSt_B,tblStudents[[#This Row],[Semester]],cSt_S,tblStudents[[#This Row],[Year]],cSt_Y)=1,tblStudents[[#This Row],[Total Marks]]+ROW()/1000000,"")</f>
        <v>71.00016</v>
      </c>
    </row>
    <row r="161">
      <c r="A161" s="79" t="inlineStr">
        <is>
          <t>STU1157</t>
        </is>
      </c>
      <c r="B161" s="79" t="inlineStr">
        <is>
          <t>Sakshi Srivastava</t>
        </is>
      </c>
      <c r="C161" s="80" t="inlineStr">
        <is>
          <t>F</t>
        </is>
      </c>
      <c r="D161" s="80" t="inlineStr">
        <is>
          <t>ECE</t>
        </is>
      </c>
      <c r="E161" s="80" t="n">
        <v>3</v>
      </c>
      <c r="F161" s="80" t="n">
        <v>2026</v>
      </c>
      <c r="G161" s="80" t="n">
        <v>29</v>
      </c>
      <c r="H161" s="80" t="n">
        <v>37</v>
      </c>
      <c r="I161" s="80">
        <f>tblStudents[[#This Row],[Internal Marks]]+tblStudents[[#This Row],[External Marks]]</f>
        <v>66</v>
      </c>
      <c r="J161" s="80" t="str">
        <f>IF(AND(tblStudents[[#This Row],[Total Marks]]&gt;=p_PassTotal,tblStudents[[#This Row],[External Marks]]&gt;=p_PassExt),"Pass","Fail")</f>
        <v>Pass</v>
      </c>
      <c r="K161" s="80" t="str">
        <f>IF(tblStudents[[#This Row],[Result]]="Fail","F",INDEX(Lists!$J$4:$J$11,MATCH(tblStudents[[#This Row],[Total Marks]],Lists!$I$4:$I$11,1)))</f>
        <v>B+</v>
      </c>
      <c r="L161" s="81">
        <f>IF(tblStudents[[#This Row],[Result]]="Pass",ROUND(MIN(10,tblStudents[[#This Row],[Total Marks]]/p_SgpaDiv),2),0)</f>
        <v>6.95</v>
      </c>
      <c r="M161" s="82">
        <f>IF(COUNTIFS(tblStudents[[#This Row],[Branch]],cSt_B,tblStudents[[#This Row],[Semester]],cSt_S,tblStudents[[#This Row],[Year]],cSt_Y)=1,tblStudents[[#This Row],[Total Marks]]+ROW()/1000000,"")</f>
        <v>66.000161</v>
      </c>
    </row>
    <row r="162">
      <c r="A162" s="79" t="inlineStr">
        <is>
          <t>STU1158</t>
        </is>
      </c>
      <c r="B162" s="79" t="inlineStr">
        <is>
          <t>Isha Singh</t>
        </is>
      </c>
      <c r="C162" s="80" t="inlineStr">
        <is>
          <t>F</t>
        </is>
      </c>
      <c r="D162" s="80" t="inlineStr">
        <is>
          <t>CE</t>
        </is>
      </c>
      <c r="E162" s="80" t="n">
        <v>1</v>
      </c>
      <c r="F162" s="80" t="n">
        <v>2026</v>
      </c>
      <c r="G162" s="80" t="n">
        <v>31</v>
      </c>
      <c r="H162" s="80" t="n">
        <v>57</v>
      </c>
      <c r="I162" s="80">
        <f>tblStudents[[#This Row],[Internal Marks]]+tblStudents[[#This Row],[External Marks]]</f>
        <v>88</v>
      </c>
      <c r="J162" s="80" t="str">
        <f>IF(AND(tblStudents[[#This Row],[Total Marks]]&gt;=p_PassTotal,tblStudents[[#This Row],[External Marks]]&gt;=p_PassExt),"Pass","Fail")</f>
        <v>Pass</v>
      </c>
      <c r="K162" s="80" t="str">
        <f>IF(tblStudents[[#This Row],[Result]]="Fail","F",INDEX(Lists!$J$4:$J$11,MATCH(tblStudents[[#This Row],[Total Marks]],Lists!$I$4:$I$11,1)))</f>
        <v>A+</v>
      </c>
      <c r="L162" s="81">
        <f>IF(tblStudents[[#This Row],[Result]]="Pass",ROUND(MIN(10,tblStudents[[#This Row],[Total Marks]]/p_SgpaDiv),2),0)</f>
        <v>9.26</v>
      </c>
      <c r="M162" s="82">
        <f>IF(COUNTIFS(tblStudents[[#This Row],[Branch]],cSt_B,tblStudents[[#This Row],[Semester]],cSt_S,tblStudents[[#This Row],[Year]],cSt_Y)=1,tblStudents[[#This Row],[Total Marks]]+ROW()/1000000,"")</f>
        <v>88.000162</v>
      </c>
    </row>
    <row r="163">
      <c r="A163" s="79" t="inlineStr">
        <is>
          <t>STU1159</t>
        </is>
      </c>
      <c r="B163" s="79" t="inlineStr">
        <is>
          <t>Mayank Kumar</t>
        </is>
      </c>
      <c r="C163" s="80" t="inlineStr">
        <is>
          <t>M</t>
        </is>
      </c>
      <c r="D163" s="80" t="inlineStr">
        <is>
          <t>IT</t>
        </is>
      </c>
      <c r="E163" s="80" t="n">
        <v>2</v>
      </c>
      <c r="F163" s="80" t="n">
        <v>2024</v>
      </c>
      <c r="G163" s="80" t="n">
        <v>22</v>
      </c>
      <c r="H163" s="80" t="n">
        <v>45</v>
      </c>
      <c r="I163" s="80">
        <f>tblStudents[[#This Row],[Internal Marks]]+tblStudents[[#This Row],[External Marks]]</f>
        <v>67</v>
      </c>
      <c r="J163" s="80" t="str">
        <f>IF(AND(tblStudents[[#This Row],[Total Marks]]&gt;=p_PassTotal,tblStudents[[#This Row],[External Marks]]&gt;=p_PassExt),"Pass","Fail")</f>
        <v>Pass</v>
      </c>
      <c r="K163" s="80" t="str">
        <f>IF(tblStudents[[#This Row],[Result]]="Fail","F",INDEX(Lists!$J$4:$J$11,MATCH(tblStudents[[#This Row],[Total Marks]],Lists!$I$4:$I$11,1)))</f>
        <v>B+</v>
      </c>
      <c r="L163" s="81">
        <f>IF(tblStudents[[#This Row],[Result]]="Pass",ROUND(MIN(10,tblStudents[[#This Row],[Total Marks]]/p_SgpaDiv),2),0)</f>
        <v>7.05</v>
      </c>
      <c r="M163" s="82">
        <f>IF(COUNTIFS(tblStudents[[#This Row],[Branch]],cSt_B,tblStudents[[#This Row],[Semester]],cSt_S,tblStudents[[#This Row],[Year]],cSt_Y)=1,tblStudents[[#This Row],[Total Marks]]+ROW()/1000000,"")</f>
        <v>67.000163</v>
      </c>
    </row>
    <row r="164">
      <c r="A164" s="79" t="inlineStr">
        <is>
          <t>STU1160</t>
        </is>
      </c>
      <c r="B164" s="79" t="inlineStr">
        <is>
          <t>Tanya Bhatt</t>
        </is>
      </c>
      <c r="C164" s="80" t="inlineStr">
        <is>
          <t>F</t>
        </is>
      </c>
      <c r="D164" s="80" t="inlineStr">
        <is>
          <t>CSE</t>
        </is>
      </c>
      <c r="E164" s="80" t="n">
        <v>7</v>
      </c>
      <c r="F164" s="80" t="n">
        <v>2023</v>
      </c>
      <c r="G164" s="80" t="n">
        <v>34</v>
      </c>
      <c r="H164" s="80" t="n">
        <v>50</v>
      </c>
      <c r="I164" s="80">
        <f>tblStudents[[#This Row],[Internal Marks]]+tblStudents[[#This Row],[External Marks]]</f>
        <v>84</v>
      </c>
      <c r="J164" s="80" t="str">
        <f>IF(AND(tblStudents[[#This Row],[Total Marks]]&gt;=p_PassTotal,tblStudents[[#This Row],[External Marks]]&gt;=p_PassExt),"Pass","Fail")</f>
        <v>Pass</v>
      </c>
      <c r="K164" s="80" t="str">
        <f>IF(tblStudents[[#This Row],[Result]]="Fail","F",INDEX(Lists!$J$4:$J$11,MATCH(tblStudents[[#This Row],[Total Marks]],Lists!$I$4:$I$11,1)))</f>
        <v>A+</v>
      </c>
      <c r="L164" s="81">
        <f>IF(tblStudents[[#This Row],[Result]]="Pass",ROUND(MIN(10,tblStudents[[#This Row],[Total Marks]]/p_SgpaDiv),2),0)</f>
        <v>8.84</v>
      </c>
      <c r="M164" s="82">
        <f>IF(COUNTIFS(tblStudents[[#This Row],[Branch]],cSt_B,tblStudents[[#This Row],[Semester]],cSt_S,tblStudents[[#This Row],[Year]],cSt_Y)=1,tblStudents[[#This Row],[Total Marks]]+ROW()/1000000,"")</f>
        <v>84.000164</v>
      </c>
    </row>
    <row r="165">
      <c r="A165" s="79" t="inlineStr">
        <is>
          <t>STU1161</t>
        </is>
      </c>
      <c r="B165" s="79" t="inlineStr">
        <is>
          <t>Sneha Gupta</t>
        </is>
      </c>
      <c r="C165" s="80" t="inlineStr">
        <is>
          <t>F</t>
        </is>
      </c>
      <c r="D165" s="80" t="inlineStr">
        <is>
          <t>CSE</t>
        </is>
      </c>
      <c r="E165" s="80" t="n">
        <v>1</v>
      </c>
      <c r="F165" s="80" t="n">
        <v>2024</v>
      </c>
      <c r="G165" s="80" t="n">
        <v>29</v>
      </c>
      <c r="H165" s="80" t="n">
        <v>23</v>
      </c>
      <c r="I165" s="80">
        <f>tblStudents[[#This Row],[Internal Marks]]+tblStudents[[#This Row],[External Marks]]</f>
        <v>52</v>
      </c>
      <c r="J165" s="80" t="str">
        <f>IF(AND(tblStudents[[#This Row],[Total Marks]]&gt;=p_PassTotal,tblStudents[[#This Row],[External Marks]]&gt;=p_PassExt),"Pass","Fail")</f>
        <v>Fail</v>
      </c>
      <c r="K165" s="80" t="str">
        <f>IF(tblStudents[[#This Row],[Result]]="Fail","F",INDEX(Lists!$J$4:$J$11,MATCH(tblStudents[[#This Row],[Total Marks]],Lists!$I$4:$I$11,1)))</f>
        <v>F</v>
      </c>
      <c r="L165" s="81">
        <f>IF(tblStudents[[#This Row],[Result]]="Pass",ROUND(MIN(10,tblStudents[[#This Row],[Total Marks]]/p_SgpaDiv),2),0)</f>
        <v>0</v>
      </c>
      <c r="M165" s="82">
        <f>IF(COUNTIFS(tblStudents[[#This Row],[Branch]],cSt_B,tblStudents[[#This Row],[Semester]],cSt_S,tblStudents[[#This Row],[Year]],cSt_Y)=1,tblStudents[[#This Row],[Total Marks]]+ROW()/1000000,"")</f>
        <v>52.000165</v>
      </c>
    </row>
    <row r="166">
      <c r="A166" s="79" t="inlineStr">
        <is>
          <t>STU1162</t>
        </is>
      </c>
      <c r="B166" s="79" t="inlineStr">
        <is>
          <t>Karan Goel</t>
        </is>
      </c>
      <c r="C166" s="80" t="inlineStr">
        <is>
          <t>M</t>
        </is>
      </c>
      <c r="D166" s="80" t="inlineStr">
        <is>
          <t>ME</t>
        </is>
      </c>
      <c r="E166" s="80" t="n">
        <v>3</v>
      </c>
      <c r="F166" s="80" t="n">
        <v>2025</v>
      </c>
      <c r="G166" s="80" t="n">
        <v>33</v>
      </c>
      <c r="H166" s="80" t="n">
        <v>39</v>
      </c>
      <c r="I166" s="80">
        <f>tblStudents[[#This Row],[Internal Marks]]+tblStudents[[#This Row],[External Marks]]</f>
        <v>72</v>
      </c>
      <c r="J166" s="80" t="str">
        <f>IF(AND(tblStudents[[#This Row],[Total Marks]]&gt;=p_PassTotal,tblStudents[[#This Row],[External Marks]]&gt;=p_PassExt),"Pass","Fail")</f>
        <v>Pass</v>
      </c>
      <c r="K166" s="80" t="str">
        <f>IF(tblStudents[[#This Row],[Result]]="Fail","F",INDEX(Lists!$J$4:$J$11,MATCH(tblStudents[[#This Row],[Total Marks]],Lists!$I$4:$I$11,1)))</f>
        <v>A</v>
      </c>
      <c r="L166" s="81">
        <f>IF(tblStudents[[#This Row],[Result]]="Pass",ROUND(MIN(10,tblStudents[[#This Row],[Total Marks]]/p_SgpaDiv),2),0)</f>
        <v>7.58</v>
      </c>
      <c r="M166" s="82">
        <f>IF(COUNTIFS(tblStudents[[#This Row],[Branch]],cSt_B,tblStudents[[#This Row],[Semester]],cSt_S,tblStudents[[#This Row],[Year]],cSt_Y)=1,tblStudents[[#This Row],[Total Marks]]+ROW()/1000000,"")</f>
        <v>72.000166</v>
      </c>
    </row>
    <row r="167">
      <c r="A167" s="79" t="inlineStr">
        <is>
          <t>STU1163</t>
        </is>
      </c>
      <c r="B167" s="79" t="inlineStr">
        <is>
          <t>Isha Thakur</t>
        </is>
      </c>
      <c r="C167" s="80" t="inlineStr">
        <is>
          <t>F</t>
        </is>
      </c>
      <c r="D167" s="80" t="inlineStr">
        <is>
          <t>CSE</t>
        </is>
      </c>
      <c r="E167" s="80" t="n">
        <v>3</v>
      </c>
      <c r="F167" s="80" t="n">
        <v>2024</v>
      </c>
      <c r="G167" s="80" t="n">
        <v>32</v>
      </c>
      <c r="H167" s="80" t="n">
        <v>45</v>
      </c>
      <c r="I167" s="80">
        <f>tblStudents[[#This Row],[Internal Marks]]+tblStudents[[#This Row],[External Marks]]</f>
        <v>77</v>
      </c>
      <c r="J167" s="80" t="str">
        <f>IF(AND(tblStudents[[#This Row],[Total Marks]]&gt;=p_PassTotal,tblStudents[[#This Row],[External Marks]]&gt;=p_PassExt),"Pass","Fail")</f>
        <v>Pass</v>
      </c>
      <c r="K167" s="80" t="str">
        <f>IF(tblStudents[[#This Row],[Result]]="Fail","F",INDEX(Lists!$J$4:$J$11,MATCH(tblStudents[[#This Row],[Total Marks]],Lists!$I$4:$I$11,1)))</f>
        <v>A</v>
      </c>
      <c r="L167" s="81">
        <f>IF(tblStudents[[#This Row],[Result]]="Pass",ROUND(MIN(10,tblStudents[[#This Row],[Total Marks]]/p_SgpaDiv),2),0)</f>
        <v>8.11</v>
      </c>
      <c r="M167" s="82">
        <f>IF(COUNTIFS(tblStudents[[#This Row],[Branch]],cSt_B,tblStudents[[#This Row],[Semester]],cSt_S,tblStudents[[#This Row],[Year]],cSt_Y)=1,tblStudents[[#This Row],[Total Marks]]+ROW()/1000000,"")</f>
        <v>77.000167</v>
      </c>
    </row>
    <row r="168">
      <c r="A168" s="79" t="inlineStr">
        <is>
          <t>STU1164</t>
        </is>
      </c>
      <c r="B168" s="79" t="inlineStr">
        <is>
          <t>Amit Pandey</t>
        </is>
      </c>
      <c r="C168" s="80" t="inlineStr">
        <is>
          <t>M</t>
        </is>
      </c>
      <c r="D168" s="80" t="inlineStr">
        <is>
          <t>CSE</t>
        </is>
      </c>
      <c r="E168" s="80" t="n">
        <v>4</v>
      </c>
      <c r="F168" s="80" t="n">
        <v>2026</v>
      </c>
      <c r="G168" s="80" t="n">
        <v>25</v>
      </c>
      <c r="H168" s="80" t="n">
        <v>43</v>
      </c>
      <c r="I168" s="80">
        <f>tblStudents[[#This Row],[Internal Marks]]+tblStudents[[#This Row],[External Marks]]</f>
        <v>68</v>
      </c>
      <c r="J168" s="80" t="str">
        <f>IF(AND(tblStudents[[#This Row],[Total Marks]]&gt;=p_PassTotal,tblStudents[[#This Row],[External Marks]]&gt;=p_PassExt),"Pass","Fail")</f>
        <v>Pass</v>
      </c>
      <c r="K168" s="80" t="str">
        <f>IF(tblStudents[[#This Row],[Result]]="Fail","F",INDEX(Lists!$J$4:$J$11,MATCH(tblStudents[[#This Row],[Total Marks]],Lists!$I$4:$I$11,1)))</f>
        <v>B+</v>
      </c>
      <c r="L168" s="81">
        <f>IF(tblStudents[[#This Row],[Result]]="Pass",ROUND(MIN(10,tblStudents[[#This Row],[Total Marks]]/p_SgpaDiv),2),0)</f>
        <v>7.16</v>
      </c>
      <c r="M168" s="82">
        <f>IF(COUNTIFS(tblStudents[[#This Row],[Branch]],cSt_B,tblStudents[[#This Row],[Semester]],cSt_S,tblStudents[[#This Row],[Year]],cSt_Y)=1,tblStudents[[#This Row],[Total Marks]]+ROW()/1000000,"")</f>
        <v>68.000168</v>
      </c>
    </row>
    <row r="169">
      <c r="A169" s="79" t="inlineStr">
        <is>
          <t>STU1165</t>
        </is>
      </c>
      <c r="B169" s="79" t="inlineStr">
        <is>
          <t>Kritika Iyer</t>
        </is>
      </c>
      <c r="C169" s="80" t="inlineStr">
        <is>
          <t>F</t>
        </is>
      </c>
      <c r="D169" s="80" t="inlineStr">
        <is>
          <t>CSE</t>
        </is>
      </c>
      <c r="E169" s="80" t="n">
        <v>1</v>
      </c>
      <c r="F169" s="80" t="n">
        <v>2025</v>
      </c>
      <c r="G169" s="80" t="n">
        <v>29</v>
      </c>
      <c r="H169" s="80" t="n">
        <v>46</v>
      </c>
      <c r="I169" s="80">
        <f>tblStudents[[#This Row],[Internal Marks]]+tblStudents[[#This Row],[External Marks]]</f>
        <v>75</v>
      </c>
      <c r="J169" s="80" t="str">
        <f>IF(AND(tblStudents[[#This Row],[Total Marks]]&gt;=p_PassTotal,tblStudents[[#This Row],[External Marks]]&gt;=p_PassExt),"Pass","Fail")</f>
        <v>Pass</v>
      </c>
      <c r="K169" s="80" t="str">
        <f>IF(tblStudents[[#This Row],[Result]]="Fail","F",INDEX(Lists!$J$4:$J$11,MATCH(tblStudents[[#This Row],[Total Marks]],Lists!$I$4:$I$11,1)))</f>
        <v>A</v>
      </c>
      <c r="L169" s="81">
        <f>IF(tblStudents[[#This Row],[Result]]="Pass",ROUND(MIN(10,tblStudents[[#This Row],[Total Marks]]/p_SgpaDiv),2),0)</f>
        <v>7.89</v>
      </c>
      <c r="M169" s="82">
        <f>IF(COUNTIFS(tblStudents[[#This Row],[Branch]],cSt_B,tblStudents[[#This Row],[Semester]],cSt_S,tblStudents[[#This Row],[Year]],cSt_Y)=1,tblStudents[[#This Row],[Total Marks]]+ROW()/1000000,"")</f>
        <v>75.000169</v>
      </c>
    </row>
    <row r="170">
      <c r="A170" s="79" t="inlineStr">
        <is>
          <t>STU1166</t>
        </is>
      </c>
      <c r="B170" s="79" t="inlineStr">
        <is>
          <t>Deepak Pandey</t>
        </is>
      </c>
      <c r="C170" s="80" t="inlineStr">
        <is>
          <t>M</t>
        </is>
      </c>
      <c r="D170" s="80" t="inlineStr">
        <is>
          <t>CE</t>
        </is>
      </c>
      <c r="E170" s="80" t="n">
        <v>7</v>
      </c>
      <c r="F170" s="80" t="n">
        <v>2025</v>
      </c>
      <c r="G170" s="80" t="n">
        <v>23</v>
      </c>
      <c r="H170" s="80" t="n">
        <v>29</v>
      </c>
      <c r="I170" s="80">
        <f>tblStudents[[#This Row],[Internal Marks]]+tblStudents[[#This Row],[External Marks]]</f>
        <v>52</v>
      </c>
      <c r="J170" s="80" t="str">
        <f>IF(AND(tblStudents[[#This Row],[Total Marks]]&gt;=p_PassTotal,tblStudents[[#This Row],[External Marks]]&gt;=p_PassExt),"Pass","Fail")</f>
        <v>Pass</v>
      </c>
      <c r="K170" s="80" t="str">
        <f>IF(tblStudents[[#This Row],[Result]]="Fail","F",INDEX(Lists!$J$4:$J$11,MATCH(tblStudents[[#This Row],[Total Marks]],Lists!$I$4:$I$11,1)))</f>
        <v>B</v>
      </c>
      <c r="L170" s="81">
        <f>IF(tblStudents[[#This Row],[Result]]="Pass",ROUND(MIN(10,tblStudents[[#This Row],[Total Marks]]/p_SgpaDiv),2),0)</f>
        <v>5.47</v>
      </c>
      <c r="M170" s="82">
        <f>IF(COUNTIFS(tblStudents[[#This Row],[Branch]],cSt_B,tblStudents[[#This Row],[Semester]],cSt_S,tblStudents[[#This Row],[Year]],cSt_Y)=1,tblStudents[[#This Row],[Total Marks]]+ROW()/1000000,"")</f>
        <v>52.00017</v>
      </c>
    </row>
    <row r="171">
      <c r="A171" s="79" t="inlineStr">
        <is>
          <t>STU1167</t>
        </is>
      </c>
      <c r="B171" s="79" t="inlineStr">
        <is>
          <t>Shruti Bansal</t>
        </is>
      </c>
      <c r="C171" s="80" t="inlineStr">
        <is>
          <t>F</t>
        </is>
      </c>
      <c r="D171" s="80" t="inlineStr">
        <is>
          <t>CE</t>
        </is>
      </c>
      <c r="E171" s="80" t="n">
        <v>8</v>
      </c>
      <c r="F171" s="80" t="n">
        <v>2026</v>
      </c>
      <c r="G171" s="80" t="n">
        <v>25</v>
      </c>
      <c r="H171" s="80" t="n">
        <v>43</v>
      </c>
      <c r="I171" s="80">
        <f>tblStudents[[#This Row],[Internal Marks]]+tblStudents[[#This Row],[External Marks]]</f>
        <v>68</v>
      </c>
      <c r="J171" s="80" t="str">
        <f>IF(AND(tblStudents[[#This Row],[Total Marks]]&gt;=p_PassTotal,tblStudents[[#This Row],[External Marks]]&gt;=p_PassExt),"Pass","Fail")</f>
        <v>Pass</v>
      </c>
      <c r="K171" s="80" t="str">
        <f>IF(tblStudents[[#This Row],[Result]]="Fail","F",INDEX(Lists!$J$4:$J$11,MATCH(tblStudents[[#This Row],[Total Marks]],Lists!$I$4:$I$11,1)))</f>
        <v>B+</v>
      </c>
      <c r="L171" s="81">
        <f>IF(tblStudents[[#This Row],[Result]]="Pass",ROUND(MIN(10,tblStudents[[#This Row],[Total Marks]]/p_SgpaDiv),2),0)</f>
        <v>7.16</v>
      </c>
      <c r="M171" s="82">
        <f>IF(COUNTIFS(tblStudents[[#This Row],[Branch]],cSt_B,tblStudents[[#This Row],[Semester]],cSt_S,tblStudents[[#This Row],[Year]],cSt_Y)=1,tblStudents[[#This Row],[Total Marks]]+ROW()/1000000,"")</f>
        <v>68.000171</v>
      </c>
    </row>
    <row r="172">
      <c r="A172" s="79" t="inlineStr">
        <is>
          <t>STU1168</t>
        </is>
      </c>
      <c r="B172" s="79" t="inlineStr">
        <is>
          <t>Saurabh Singh</t>
        </is>
      </c>
      <c r="C172" s="80" t="inlineStr">
        <is>
          <t>M</t>
        </is>
      </c>
      <c r="D172" s="80" t="inlineStr">
        <is>
          <t>CE</t>
        </is>
      </c>
      <c r="E172" s="80" t="n">
        <v>6</v>
      </c>
      <c r="F172" s="80" t="n">
        <v>2023</v>
      </c>
      <c r="G172" s="80" t="n">
        <v>25</v>
      </c>
      <c r="H172" s="80" t="n">
        <v>44</v>
      </c>
      <c r="I172" s="80">
        <f>tblStudents[[#This Row],[Internal Marks]]+tblStudents[[#This Row],[External Marks]]</f>
        <v>69</v>
      </c>
      <c r="J172" s="80" t="str">
        <f>IF(AND(tblStudents[[#This Row],[Total Marks]]&gt;=p_PassTotal,tblStudents[[#This Row],[External Marks]]&gt;=p_PassExt),"Pass","Fail")</f>
        <v>Pass</v>
      </c>
      <c r="K172" s="80" t="str">
        <f>IF(tblStudents[[#This Row],[Result]]="Fail","F",INDEX(Lists!$J$4:$J$11,MATCH(tblStudents[[#This Row],[Total Marks]],Lists!$I$4:$I$11,1)))</f>
        <v>B+</v>
      </c>
      <c r="L172" s="81">
        <f>IF(tblStudents[[#This Row],[Result]]="Pass",ROUND(MIN(10,tblStudents[[#This Row],[Total Marks]]/p_SgpaDiv),2),0)</f>
        <v>7.26</v>
      </c>
      <c r="M172" s="82">
        <f>IF(COUNTIFS(tblStudents[[#This Row],[Branch]],cSt_B,tblStudents[[#This Row],[Semester]],cSt_S,tblStudents[[#This Row],[Year]],cSt_Y)=1,tblStudents[[#This Row],[Total Marks]]+ROW()/1000000,"")</f>
        <v>69.000172</v>
      </c>
    </row>
    <row r="173">
      <c r="A173" s="79" t="inlineStr">
        <is>
          <t>STU1169</t>
        </is>
      </c>
      <c r="B173" s="79" t="inlineStr">
        <is>
          <t>Tarun Reddy</t>
        </is>
      </c>
      <c r="C173" s="80" t="inlineStr">
        <is>
          <t>M</t>
        </is>
      </c>
      <c r="D173" s="80" t="inlineStr">
        <is>
          <t>CSE</t>
        </is>
      </c>
      <c r="E173" s="80" t="n">
        <v>7</v>
      </c>
      <c r="F173" s="80" t="n">
        <v>2025</v>
      </c>
      <c r="G173" s="80" t="n">
        <v>25</v>
      </c>
      <c r="H173" s="80" t="n">
        <v>28</v>
      </c>
      <c r="I173" s="80">
        <f>tblStudents[[#This Row],[Internal Marks]]+tblStudents[[#This Row],[External Marks]]</f>
        <v>53</v>
      </c>
      <c r="J173" s="80" t="str">
        <f>IF(AND(tblStudents[[#This Row],[Total Marks]]&gt;=p_PassTotal,tblStudents[[#This Row],[External Marks]]&gt;=p_PassExt),"Pass","Fail")</f>
        <v>Pass</v>
      </c>
      <c r="K173" s="80" t="str">
        <f>IF(tblStudents[[#This Row],[Result]]="Fail","F",INDEX(Lists!$J$4:$J$11,MATCH(tblStudents[[#This Row],[Total Marks]],Lists!$I$4:$I$11,1)))</f>
        <v>B</v>
      </c>
      <c r="L173" s="81">
        <f>IF(tblStudents[[#This Row],[Result]]="Pass",ROUND(MIN(10,tblStudents[[#This Row],[Total Marks]]/p_SgpaDiv),2),0)</f>
        <v>5.58</v>
      </c>
      <c r="M173" s="82">
        <f>IF(COUNTIFS(tblStudents[[#This Row],[Branch]],cSt_B,tblStudents[[#This Row],[Semester]],cSt_S,tblStudents[[#This Row],[Year]],cSt_Y)=1,tblStudents[[#This Row],[Total Marks]]+ROW()/1000000,"")</f>
        <v>53.000173</v>
      </c>
    </row>
    <row r="174">
      <c r="A174" s="79" t="inlineStr">
        <is>
          <t>STU1170</t>
        </is>
      </c>
      <c r="B174" s="79" t="inlineStr">
        <is>
          <t>Vishal Ansari</t>
        </is>
      </c>
      <c r="C174" s="80" t="inlineStr">
        <is>
          <t>M</t>
        </is>
      </c>
      <c r="D174" s="80" t="inlineStr">
        <is>
          <t>IT</t>
        </is>
      </c>
      <c r="E174" s="80" t="n">
        <v>8</v>
      </c>
      <c r="F174" s="80" t="n">
        <v>2023</v>
      </c>
      <c r="G174" s="80" t="n">
        <v>32</v>
      </c>
      <c r="H174" s="80" t="n">
        <v>42</v>
      </c>
      <c r="I174" s="80">
        <f>tblStudents[[#This Row],[Internal Marks]]+tblStudents[[#This Row],[External Marks]]</f>
        <v>74</v>
      </c>
      <c r="J174" s="80" t="str">
        <f>IF(AND(tblStudents[[#This Row],[Total Marks]]&gt;=p_PassTotal,tblStudents[[#This Row],[External Marks]]&gt;=p_PassExt),"Pass","Fail")</f>
        <v>Pass</v>
      </c>
      <c r="K174" s="80" t="str">
        <f>IF(tblStudents[[#This Row],[Result]]="Fail","F",INDEX(Lists!$J$4:$J$11,MATCH(tblStudents[[#This Row],[Total Marks]],Lists!$I$4:$I$11,1)))</f>
        <v>A</v>
      </c>
      <c r="L174" s="81">
        <f>IF(tblStudents[[#This Row],[Result]]="Pass",ROUND(MIN(10,tblStudents[[#This Row],[Total Marks]]/p_SgpaDiv),2),0)</f>
        <v>7.79</v>
      </c>
      <c r="M174" s="82">
        <f>IF(COUNTIFS(tblStudents[[#This Row],[Branch]],cSt_B,tblStudents[[#This Row],[Semester]],cSt_S,tblStudents[[#This Row],[Year]],cSt_Y)=1,tblStudents[[#This Row],[Total Marks]]+ROW()/1000000,"")</f>
        <v>74.000174</v>
      </c>
    </row>
    <row r="175">
      <c r="A175" s="79" t="inlineStr">
        <is>
          <t>STU1171</t>
        </is>
      </c>
      <c r="B175" s="79" t="inlineStr">
        <is>
          <t>Tanvi Mittal</t>
        </is>
      </c>
      <c r="C175" s="80" t="inlineStr">
        <is>
          <t>F</t>
        </is>
      </c>
      <c r="D175" s="80" t="inlineStr">
        <is>
          <t>ECE</t>
        </is>
      </c>
      <c r="E175" s="80" t="n">
        <v>5</v>
      </c>
      <c r="F175" s="80" t="n">
        <v>2023</v>
      </c>
      <c r="G175" s="80" t="n">
        <v>27</v>
      </c>
      <c r="H175" s="80" t="n">
        <v>54</v>
      </c>
      <c r="I175" s="80">
        <f>tblStudents[[#This Row],[Internal Marks]]+tblStudents[[#This Row],[External Marks]]</f>
        <v>81</v>
      </c>
      <c r="J175" s="80" t="str">
        <f>IF(AND(tblStudents[[#This Row],[Total Marks]]&gt;=p_PassTotal,tblStudents[[#This Row],[External Marks]]&gt;=p_PassExt),"Pass","Fail")</f>
        <v>Pass</v>
      </c>
      <c r="K175" s="80" t="str">
        <f>IF(tblStudents[[#This Row],[Result]]="Fail","F",INDEX(Lists!$J$4:$J$11,MATCH(tblStudents[[#This Row],[Total Marks]],Lists!$I$4:$I$11,1)))</f>
        <v>A+</v>
      </c>
      <c r="L175" s="81">
        <f>IF(tblStudents[[#This Row],[Result]]="Pass",ROUND(MIN(10,tblStudents[[#This Row],[Total Marks]]/p_SgpaDiv),2),0)</f>
        <v>8.53</v>
      </c>
      <c r="M175" s="82">
        <f>IF(COUNTIFS(tblStudents[[#This Row],[Branch]],cSt_B,tblStudents[[#This Row],[Semester]],cSt_S,tblStudents[[#This Row],[Year]],cSt_Y)=1,tblStudents[[#This Row],[Total Marks]]+ROW()/1000000,"")</f>
        <v>81.000175</v>
      </c>
    </row>
    <row r="176">
      <c r="A176" s="79" t="inlineStr">
        <is>
          <t>STU1172</t>
        </is>
      </c>
      <c r="B176" s="79" t="inlineStr">
        <is>
          <t>Abhishek Nair</t>
        </is>
      </c>
      <c r="C176" s="80" t="inlineStr">
        <is>
          <t>M</t>
        </is>
      </c>
      <c r="D176" s="80" t="inlineStr">
        <is>
          <t>IT</t>
        </is>
      </c>
      <c r="E176" s="80" t="n">
        <v>1</v>
      </c>
      <c r="F176" s="80" t="n">
        <v>2026</v>
      </c>
      <c r="G176" s="80" t="n">
        <v>26</v>
      </c>
      <c r="H176" s="80" t="n">
        <v>50</v>
      </c>
      <c r="I176" s="80">
        <f>tblStudents[[#This Row],[Internal Marks]]+tblStudents[[#This Row],[External Marks]]</f>
        <v>76</v>
      </c>
      <c r="J176" s="80" t="str">
        <f>IF(AND(tblStudents[[#This Row],[Total Marks]]&gt;=p_PassTotal,tblStudents[[#This Row],[External Marks]]&gt;=p_PassExt),"Pass","Fail")</f>
        <v>Pass</v>
      </c>
      <c r="K176" s="80" t="str">
        <f>IF(tblStudents[[#This Row],[Result]]="Fail","F",INDEX(Lists!$J$4:$J$11,MATCH(tblStudents[[#This Row],[Total Marks]],Lists!$I$4:$I$11,1)))</f>
        <v>A</v>
      </c>
      <c r="L176" s="81">
        <f>IF(tblStudents[[#This Row],[Result]]="Pass",ROUND(MIN(10,tblStudents[[#This Row],[Total Marks]]/p_SgpaDiv),2),0)</f>
        <v>8</v>
      </c>
      <c r="M176" s="82">
        <f>IF(COUNTIFS(tblStudents[[#This Row],[Branch]],cSt_B,tblStudents[[#This Row],[Semester]],cSt_S,tblStudents[[#This Row],[Year]],cSt_Y)=1,tblStudents[[#This Row],[Total Marks]]+ROW()/1000000,"")</f>
        <v>76.000176</v>
      </c>
    </row>
    <row r="177">
      <c r="A177" s="79" t="inlineStr">
        <is>
          <t>STU1173</t>
        </is>
      </c>
      <c r="B177" s="79" t="inlineStr">
        <is>
          <t>Pooja Reddy</t>
        </is>
      </c>
      <c r="C177" s="80" t="inlineStr">
        <is>
          <t>F</t>
        </is>
      </c>
      <c r="D177" s="80" t="inlineStr">
        <is>
          <t>CE</t>
        </is>
      </c>
      <c r="E177" s="80" t="n">
        <v>1</v>
      </c>
      <c r="F177" s="80" t="n">
        <v>2026</v>
      </c>
      <c r="G177" s="80" t="n">
        <v>23</v>
      </c>
      <c r="H177" s="80" t="n">
        <v>27</v>
      </c>
      <c r="I177" s="80">
        <f>tblStudents[[#This Row],[Internal Marks]]+tblStudents[[#This Row],[External Marks]]</f>
        <v>50</v>
      </c>
      <c r="J177" s="80" t="str">
        <f>IF(AND(tblStudents[[#This Row],[Total Marks]]&gt;=p_PassTotal,tblStudents[[#This Row],[External Marks]]&gt;=p_PassExt),"Pass","Fail")</f>
        <v>Pass</v>
      </c>
      <c r="K177" s="80" t="str">
        <f>IF(tblStudents[[#This Row],[Result]]="Fail","F",INDEX(Lists!$J$4:$J$11,MATCH(tblStudents[[#This Row],[Total Marks]],Lists!$I$4:$I$11,1)))</f>
        <v>B</v>
      </c>
      <c r="L177" s="81">
        <f>IF(tblStudents[[#This Row],[Result]]="Pass",ROUND(MIN(10,tblStudents[[#This Row],[Total Marks]]/p_SgpaDiv),2),0)</f>
        <v>5.26</v>
      </c>
      <c r="M177" s="82">
        <f>IF(COUNTIFS(tblStudents[[#This Row],[Branch]],cSt_B,tblStudents[[#This Row],[Semester]],cSt_S,tblStudents[[#This Row],[Year]],cSt_Y)=1,tblStudents[[#This Row],[Total Marks]]+ROW()/1000000,"")</f>
        <v>50.000177</v>
      </c>
    </row>
    <row r="178">
      <c r="A178" s="79" t="inlineStr">
        <is>
          <t>STU1174</t>
        </is>
      </c>
      <c r="B178" s="79" t="inlineStr">
        <is>
          <t>Harsh Gupta</t>
        </is>
      </c>
      <c r="C178" s="80" t="inlineStr">
        <is>
          <t>M</t>
        </is>
      </c>
      <c r="D178" s="80" t="inlineStr">
        <is>
          <t>ME</t>
        </is>
      </c>
      <c r="E178" s="80" t="n">
        <v>8</v>
      </c>
      <c r="F178" s="80" t="n">
        <v>2026</v>
      </c>
      <c r="G178" s="80" t="n">
        <v>18</v>
      </c>
      <c r="H178" s="80" t="n">
        <v>23</v>
      </c>
      <c r="I178" s="80">
        <f>tblStudents[[#This Row],[Internal Marks]]+tblStudents[[#This Row],[External Marks]]</f>
        <v>41</v>
      </c>
      <c r="J178" s="80" t="str">
        <f>IF(AND(tblStudents[[#This Row],[Total Marks]]&gt;=p_PassTotal,tblStudents[[#This Row],[External Marks]]&gt;=p_PassExt),"Pass","Fail")</f>
        <v>Fail</v>
      </c>
      <c r="K178" s="80" t="str">
        <f>IF(tblStudents[[#This Row],[Result]]="Fail","F",INDEX(Lists!$J$4:$J$11,MATCH(tblStudents[[#This Row],[Total Marks]],Lists!$I$4:$I$11,1)))</f>
        <v>F</v>
      </c>
      <c r="L178" s="81">
        <f>IF(tblStudents[[#This Row],[Result]]="Pass",ROUND(MIN(10,tblStudents[[#This Row],[Total Marks]]/p_SgpaDiv),2),0)</f>
        <v>0</v>
      </c>
      <c r="M178" s="82">
        <f>IF(COUNTIFS(tblStudents[[#This Row],[Branch]],cSt_B,tblStudents[[#This Row],[Semester]],cSt_S,tblStudents[[#This Row],[Year]],cSt_Y)=1,tblStudents[[#This Row],[Total Marks]]+ROW()/1000000,"")</f>
        <v>41.000178</v>
      </c>
    </row>
    <row r="179">
      <c r="A179" s="79" t="inlineStr">
        <is>
          <t>STU1175</t>
        </is>
      </c>
      <c r="B179" s="79" t="inlineStr">
        <is>
          <t>Vivaan Thakur</t>
        </is>
      </c>
      <c r="C179" s="80" t="inlineStr">
        <is>
          <t>M</t>
        </is>
      </c>
      <c r="D179" s="80" t="inlineStr">
        <is>
          <t>ME</t>
        </is>
      </c>
      <c r="E179" s="80" t="n">
        <v>8</v>
      </c>
      <c r="F179" s="80" t="n">
        <v>2026</v>
      </c>
      <c r="G179" s="80" t="n">
        <v>25</v>
      </c>
      <c r="H179" s="80" t="n">
        <v>39</v>
      </c>
      <c r="I179" s="80">
        <f>tblStudents[[#This Row],[Internal Marks]]+tblStudents[[#This Row],[External Marks]]</f>
        <v>64</v>
      </c>
      <c r="J179" s="80" t="str">
        <f>IF(AND(tblStudents[[#This Row],[Total Marks]]&gt;=p_PassTotal,tblStudents[[#This Row],[External Marks]]&gt;=p_PassExt),"Pass","Fail")</f>
        <v>Pass</v>
      </c>
      <c r="K179" s="80" t="str">
        <f>IF(tblStudents[[#This Row],[Result]]="Fail","F",INDEX(Lists!$J$4:$J$11,MATCH(tblStudents[[#This Row],[Total Marks]],Lists!$I$4:$I$11,1)))</f>
        <v>B+</v>
      </c>
      <c r="L179" s="81">
        <f>IF(tblStudents[[#This Row],[Result]]="Pass",ROUND(MIN(10,tblStudents[[#This Row],[Total Marks]]/p_SgpaDiv),2),0)</f>
        <v>6.74</v>
      </c>
      <c r="M179" s="82">
        <f>IF(COUNTIFS(tblStudents[[#This Row],[Branch]],cSt_B,tblStudents[[#This Row],[Semester]],cSt_S,tblStudents[[#This Row],[Year]],cSt_Y)=1,tblStudents[[#This Row],[Total Marks]]+ROW()/1000000,"")</f>
        <v>64.000179</v>
      </c>
    </row>
    <row r="180">
      <c r="A180" s="79" t="inlineStr">
        <is>
          <t>STU1176</t>
        </is>
      </c>
      <c r="B180" s="79" t="inlineStr">
        <is>
          <t>Devansh Verma</t>
        </is>
      </c>
      <c r="C180" s="80" t="inlineStr">
        <is>
          <t>M</t>
        </is>
      </c>
      <c r="D180" s="80" t="inlineStr">
        <is>
          <t>IT</t>
        </is>
      </c>
      <c r="E180" s="80" t="n">
        <v>7</v>
      </c>
      <c r="F180" s="80" t="n">
        <v>2024</v>
      </c>
      <c r="G180" s="80" t="n">
        <v>25</v>
      </c>
      <c r="H180" s="80" t="n">
        <v>27</v>
      </c>
      <c r="I180" s="80">
        <f>tblStudents[[#This Row],[Internal Marks]]+tblStudents[[#This Row],[External Marks]]</f>
        <v>52</v>
      </c>
      <c r="J180" s="80" t="str">
        <f>IF(AND(tblStudents[[#This Row],[Total Marks]]&gt;=p_PassTotal,tblStudents[[#This Row],[External Marks]]&gt;=p_PassExt),"Pass","Fail")</f>
        <v>Pass</v>
      </c>
      <c r="K180" s="80" t="str">
        <f>IF(tblStudents[[#This Row],[Result]]="Fail","F",INDEX(Lists!$J$4:$J$11,MATCH(tblStudents[[#This Row],[Total Marks]],Lists!$I$4:$I$11,1)))</f>
        <v>B</v>
      </c>
      <c r="L180" s="81">
        <f>IF(tblStudents[[#This Row],[Result]]="Pass",ROUND(MIN(10,tblStudents[[#This Row],[Total Marks]]/p_SgpaDiv),2),0)</f>
        <v>5.47</v>
      </c>
      <c r="M180" s="82">
        <f>IF(COUNTIFS(tblStudents[[#This Row],[Branch]],cSt_B,tblStudents[[#This Row],[Semester]],cSt_S,tblStudents[[#This Row],[Year]],cSt_Y)=1,tblStudents[[#This Row],[Total Marks]]+ROW()/1000000,"")</f>
        <v>52.00018</v>
      </c>
    </row>
    <row r="181">
      <c r="A181" s="79" t="inlineStr">
        <is>
          <t>STU1177</t>
        </is>
      </c>
      <c r="B181" s="79" t="inlineStr">
        <is>
          <t>Palak Agarwal</t>
        </is>
      </c>
      <c r="C181" s="80" t="inlineStr">
        <is>
          <t>F</t>
        </is>
      </c>
      <c r="D181" s="80" t="inlineStr">
        <is>
          <t>CSE</t>
        </is>
      </c>
      <c r="E181" s="80" t="n">
        <v>7</v>
      </c>
      <c r="F181" s="80" t="n">
        <v>2024</v>
      </c>
      <c r="G181" s="80" t="n">
        <v>30</v>
      </c>
      <c r="H181" s="80" t="n">
        <v>49</v>
      </c>
      <c r="I181" s="80">
        <f>tblStudents[[#This Row],[Internal Marks]]+tblStudents[[#This Row],[External Marks]]</f>
        <v>79</v>
      </c>
      <c r="J181" s="80" t="str">
        <f>IF(AND(tblStudents[[#This Row],[Total Marks]]&gt;=p_PassTotal,tblStudents[[#This Row],[External Marks]]&gt;=p_PassExt),"Pass","Fail")</f>
        <v>Pass</v>
      </c>
      <c r="K181" s="80" t="str">
        <f>IF(tblStudents[[#This Row],[Result]]="Fail","F",INDEX(Lists!$J$4:$J$11,MATCH(tblStudents[[#This Row],[Total Marks]],Lists!$I$4:$I$11,1)))</f>
        <v>A</v>
      </c>
      <c r="L181" s="81">
        <f>IF(tblStudents[[#This Row],[Result]]="Pass",ROUND(MIN(10,tblStudents[[#This Row],[Total Marks]]/p_SgpaDiv),2),0)</f>
        <v>8.32</v>
      </c>
      <c r="M181" s="82">
        <f>IF(COUNTIFS(tblStudents[[#This Row],[Branch]],cSt_B,tblStudents[[#This Row],[Semester]],cSt_S,tblStudents[[#This Row],[Year]],cSt_Y)=1,tblStudents[[#This Row],[Total Marks]]+ROW()/1000000,"")</f>
        <v>79.000181</v>
      </c>
    </row>
    <row r="182">
      <c r="A182" s="79" t="inlineStr">
        <is>
          <t>STU1178</t>
        </is>
      </c>
      <c r="B182" s="79" t="inlineStr">
        <is>
          <t>Aarushi Goel</t>
        </is>
      </c>
      <c r="C182" s="80" t="inlineStr">
        <is>
          <t>F</t>
        </is>
      </c>
      <c r="D182" s="80" t="inlineStr">
        <is>
          <t>CSE</t>
        </is>
      </c>
      <c r="E182" s="80" t="n">
        <v>4</v>
      </c>
      <c r="F182" s="80" t="n">
        <v>2023</v>
      </c>
      <c r="G182" s="80" t="n">
        <v>27</v>
      </c>
      <c r="H182" s="80" t="n">
        <v>50</v>
      </c>
      <c r="I182" s="80">
        <f>tblStudents[[#This Row],[Internal Marks]]+tblStudents[[#This Row],[External Marks]]</f>
        <v>77</v>
      </c>
      <c r="J182" s="80" t="str">
        <f>IF(AND(tblStudents[[#This Row],[Total Marks]]&gt;=p_PassTotal,tblStudents[[#This Row],[External Marks]]&gt;=p_PassExt),"Pass","Fail")</f>
        <v>Pass</v>
      </c>
      <c r="K182" s="80" t="str">
        <f>IF(tblStudents[[#This Row],[Result]]="Fail","F",INDEX(Lists!$J$4:$J$11,MATCH(tblStudents[[#This Row],[Total Marks]],Lists!$I$4:$I$11,1)))</f>
        <v>A</v>
      </c>
      <c r="L182" s="81">
        <f>IF(tblStudents[[#This Row],[Result]]="Pass",ROUND(MIN(10,tblStudents[[#This Row],[Total Marks]]/p_SgpaDiv),2),0)</f>
        <v>8.11</v>
      </c>
      <c r="M182" s="82">
        <f>IF(COUNTIFS(tblStudents[[#This Row],[Branch]],cSt_B,tblStudents[[#This Row],[Semester]],cSt_S,tblStudents[[#This Row],[Year]],cSt_Y)=1,tblStudents[[#This Row],[Total Marks]]+ROW()/1000000,"")</f>
        <v>77.000182</v>
      </c>
    </row>
    <row r="183">
      <c r="A183" s="79" t="inlineStr">
        <is>
          <t>STU1179</t>
        </is>
      </c>
      <c r="B183" s="79" t="inlineStr">
        <is>
          <t>Karan Mittal</t>
        </is>
      </c>
      <c r="C183" s="80" t="inlineStr">
        <is>
          <t>M</t>
        </is>
      </c>
      <c r="D183" s="80" t="inlineStr">
        <is>
          <t>CSE</t>
        </is>
      </c>
      <c r="E183" s="80" t="n">
        <v>6</v>
      </c>
      <c r="F183" s="80" t="n">
        <v>2024</v>
      </c>
      <c r="G183" s="80" t="n">
        <v>28</v>
      </c>
      <c r="H183" s="80" t="n">
        <v>51</v>
      </c>
      <c r="I183" s="80">
        <f>tblStudents[[#This Row],[Internal Marks]]+tblStudents[[#This Row],[External Marks]]</f>
        <v>79</v>
      </c>
      <c r="J183" s="80" t="str">
        <f>IF(AND(tblStudents[[#This Row],[Total Marks]]&gt;=p_PassTotal,tblStudents[[#This Row],[External Marks]]&gt;=p_PassExt),"Pass","Fail")</f>
        <v>Pass</v>
      </c>
      <c r="K183" s="80" t="str">
        <f>IF(tblStudents[[#This Row],[Result]]="Fail","F",INDEX(Lists!$J$4:$J$11,MATCH(tblStudents[[#This Row],[Total Marks]],Lists!$I$4:$I$11,1)))</f>
        <v>A</v>
      </c>
      <c r="L183" s="81">
        <f>IF(tblStudents[[#This Row],[Result]]="Pass",ROUND(MIN(10,tblStudents[[#This Row],[Total Marks]]/p_SgpaDiv),2),0)</f>
        <v>8.32</v>
      </c>
      <c r="M183" s="82">
        <f>IF(COUNTIFS(tblStudents[[#This Row],[Branch]],cSt_B,tblStudents[[#This Row],[Semester]],cSt_S,tblStudents[[#This Row],[Year]],cSt_Y)=1,tblStudents[[#This Row],[Total Marks]]+ROW()/1000000,"")</f>
        <v>79.000183</v>
      </c>
    </row>
    <row r="184">
      <c r="A184" s="79" t="inlineStr">
        <is>
          <t>STU1180</t>
        </is>
      </c>
      <c r="B184" s="79" t="inlineStr">
        <is>
          <t>Srishti Pandey</t>
        </is>
      </c>
      <c r="C184" s="80" t="inlineStr">
        <is>
          <t>F</t>
        </is>
      </c>
      <c r="D184" s="80" t="inlineStr">
        <is>
          <t>ME</t>
        </is>
      </c>
      <c r="E184" s="80" t="n">
        <v>3</v>
      </c>
      <c r="F184" s="80" t="n">
        <v>2023</v>
      </c>
      <c r="G184" s="80" t="n">
        <v>26</v>
      </c>
      <c r="H184" s="80" t="n">
        <v>15</v>
      </c>
      <c r="I184" s="80">
        <f>tblStudents[[#This Row],[Internal Marks]]+tblStudents[[#This Row],[External Marks]]</f>
        <v>41</v>
      </c>
      <c r="J184" s="80" t="str">
        <f>IF(AND(tblStudents[[#This Row],[Total Marks]]&gt;=p_PassTotal,tblStudents[[#This Row],[External Marks]]&gt;=p_PassExt),"Pass","Fail")</f>
        <v>Fail</v>
      </c>
      <c r="K184" s="80" t="str">
        <f>IF(tblStudents[[#This Row],[Result]]="Fail","F",INDEX(Lists!$J$4:$J$11,MATCH(tblStudents[[#This Row],[Total Marks]],Lists!$I$4:$I$11,1)))</f>
        <v>F</v>
      </c>
      <c r="L184" s="81">
        <f>IF(tblStudents[[#This Row],[Result]]="Pass",ROUND(MIN(10,tblStudents[[#This Row],[Total Marks]]/p_SgpaDiv),2),0)</f>
        <v>0</v>
      </c>
      <c r="M184" s="82">
        <f>IF(COUNTIFS(tblStudents[[#This Row],[Branch]],cSt_B,tblStudents[[#This Row],[Semester]],cSt_S,tblStudents[[#This Row],[Year]],cSt_Y)=1,tblStudents[[#This Row],[Total Marks]]+ROW()/1000000,"")</f>
        <v>41.000184</v>
      </c>
    </row>
    <row r="185">
      <c r="A185" s="79" t="inlineStr">
        <is>
          <t>STU1181</t>
        </is>
      </c>
      <c r="B185" s="79" t="inlineStr">
        <is>
          <t>Vikram Kumar</t>
        </is>
      </c>
      <c r="C185" s="80" t="inlineStr">
        <is>
          <t>M</t>
        </is>
      </c>
      <c r="D185" s="80" t="inlineStr">
        <is>
          <t>CSE</t>
        </is>
      </c>
      <c r="E185" s="80" t="n">
        <v>7</v>
      </c>
      <c r="F185" s="80" t="n">
        <v>2026</v>
      </c>
      <c r="G185" s="80" t="n">
        <v>19</v>
      </c>
      <c r="H185" s="80" t="n">
        <v>31</v>
      </c>
      <c r="I185" s="80">
        <f>tblStudents[[#This Row],[Internal Marks]]+tblStudents[[#This Row],[External Marks]]</f>
        <v>50</v>
      </c>
      <c r="J185" s="80" t="str">
        <f>IF(AND(tblStudents[[#This Row],[Total Marks]]&gt;=p_PassTotal,tblStudents[[#This Row],[External Marks]]&gt;=p_PassExt),"Pass","Fail")</f>
        <v>Pass</v>
      </c>
      <c r="K185" s="80" t="str">
        <f>IF(tblStudents[[#This Row],[Result]]="Fail","F",INDEX(Lists!$J$4:$J$11,MATCH(tblStudents[[#This Row],[Total Marks]],Lists!$I$4:$I$11,1)))</f>
        <v>B</v>
      </c>
      <c r="L185" s="81">
        <f>IF(tblStudents[[#This Row],[Result]]="Pass",ROUND(MIN(10,tblStudents[[#This Row],[Total Marks]]/p_SgpaDiv),2),0)</f>
        <v>5.26</v>
      </c>
      <c r="M185" s="82">
        <f>IF(COUNTIFS(tblStudents[[#This Row],[Branch]],cSt_B,tblStudents[[#This Row],[Semester]],cSt_S,tblStudents[[#This Row],[Year]],cSt_Y)=1,tblStudents[[#This Row],[Total Marks]]+ROW()/1000000,"")</f>
        <v>50.000185</v>
      </c>
    </row>
    <row r="186">
      <c r="A186" s="79" t="inlineStr">
        <is>
          <t>STU1182</t>
        </is>
      </c>
      <c r="B186" s="79" t="inlineStr">
        <is>
          <t>Kunal Khan</t>
        </is>
      </c>
      <c r="C186" s="80" t="inlineStr">
        <is>
          <t>M</t>
        </is>
      </c>
      <c r="D186" s="80" t="inlineStr">
        <is>
          <t>CSE</t>
        </is>
      </c>
      <c r="E186" s="80" t="n">
        <v>2</v>
      </c>
      <c r="F186" s="80" t="n">
        <v>2024</v>
      </c>
      <c r="G186" s="80" t="n">
        <v>36</v>
      </c>
      <c r="H186" s="80" t="n">
        <v>54</v>
      </c>
      <c r="I186" s="80">
        <f>tblStudents[[#This Row],[Internal Marks]]+tblStudents[[#This Row],[External Marks]]</f>
        <v>90</v>
      </c>
      <c r="J186" s="80" t="str">
        <f>IF(AND(tblStudents[[#This Row],[Total Marks]]&gt;=p_PassTotal,tblStudents[[#This Row],[External Marks]]&gt;=p_PassExt),"Pass","Fail")</f>
        <v>Pass</v>
      </c>
      <c r="K186" s="80" t="str">
        <f>IF(tblStudents[[#This Row],[Result]]="Fail","F",INDEX(Lists!$J$4:$J$11,MATCH(tblStudents[[#This Row],[Total Marks]],Lists!$I$4:$I$11,1)))</f>
        <v>O</v>
      </c>
      <c r="L186" s="81">
        <f>IF(tblStudents[[#This Row],[Result]]="Pass",ROUND(MIN(10,tblStudents[[#This Row],[Total Marks]]/p_SgpaDiv),2),0)</f>
        <v>9.47</v>
      </c>
      <c r="M186" s="82">
        <f>IF(COUNTIFS(tblStudents[[#This Row],[Branch]],cSt_B,tblStudents[[#This Row],[Semester]],cSt_S,tblStudents[[#This Row],[Year]],cSt_Y)=1,tblStudents[[#This Row],[Total Marks]]+ROW()/1000000,"")</f>
        <v>90.000186</v>
      </c>
    </row>
    <row r="187">
      <c r="A187" s="79" t="inlineStr">
        <is>
          <t>STU1183</t>
        </is>
      </c>
      <c r="B187" s="79" t="inlineStr">
        <is>
          <t>Tushar Verma</t>
        </is>
      </c>
      <c r="C187" s="80" t="inlineStr">
        <is>
          <t>M</t>
        </is>
      </c>
      <c r="D187" s="80" t="inlineStr">
        <is>
          <t>IT</t>
        </is>
      </c>
      <c r="E187" s="80" t="n">
        <v>3</v>
      </c>
      <c r="F187" s="80" t="n">
        <v>2025</v>
      </c>
      <c r="G187" s="80" t="n">
        <v>30</v>
      </c>
      <c r="H187" s="80" t="n">
        <v>42</v>
      </c>
      <c r="I187" s="80">
        <f>tblStudents[[#This Row],[Internal Marks]]+tblStudents[[#This Row],[External Marks]]</f>
        <v>72</v>
      </c>
      <c r="J187" s="80" t="str">
        <f>IF(AND(tblStudents[[#This Row],[Total Marks]]&gt;=p_PassTotal,tblStudents[[#This Row],[External Marks]]&gt;=p_PassExt),"Pass","Fail")</f>
        <v>Pass</v>
      </c>
      <c r="K187" s="80" t="str">
        <f>IF(tblStudents[[#This Row],[Result]]="Fail","F",INDEX(Lists!$J$4:$J$11,MATCH(tblStudents[[#This Row],[Total Marks]],Lists!$I$4:$I$11,1)))</f>
        <v>A</v>
      </c>
      <c r="L187" s="81">
        <f>IF(tblStudents[[#This Row],[Result]]="Pass",ROUND(MIN(10,tblStudents[[#This Row],[Total Marks]]/p_SgpaDiv),2),0)</f>
        <v>7.58</v>
      </c>
      <c r="M187" s="82">
        <f>IF(COUNTIFS(tblStudents[[#This Row],[Branch]],cSt_B,tblStudents[[#This Row],[Semester]],cSt_S,tblStudents[[#This Row],[Year]],cSt_Y)=1,tblStudents[[#This Row],[Total Marks]]+ROW()/1000000,"")</f>
        <v>72.000187</v>
      </c>
    </row>
    <row r="188">
      <c r="A188" s="79" t="inlineStr">
        <is>
          <t>STU1184</t>
        </is>
      </c>
      <c r="B188" s="79" t="inlineStr">
        <is>
          <t>Kritika Thakur</t>
        </is>
      </c>
      <c r="C188" s="80" t="inlineStr">
        <is>
          <t>F</t>
        </is>
      </c>
      <c r="D188" s="80" t="inlineStr">
        <is>
          <t>ME</t>
        </is>
      </c>
      <c r="E188" s="80" t="n">
        <v>8</v>
      </c>
      <c r="F188" s="80" t="n">
        <v>2023</v>
      </c>
      <c r="G188" s="80" t="n">
        <v>23</v>
      </c>
      <c r="H188" s="80" t="n">
        <v>40</v>
      </c>
      <c r="I188" s="80">
        <f>tblStudents[[#This Row],[Internal Marks]]+tblStudents[[#This Row],[External Marks]]</f>
        <v>63</v>
      </c>
      <c r="J188" s="80" t="str">
        <f>IF(AND(tblStudents[[#This Row],[Total Marks]]&gt;=p_PassTotal,tblStudents[[#This Row],[External Marks]]&gt;=p_PassExt),"Pass","Fail")</f>
        <v>Pass</v>
      </c>
      <c r="K188" s="80" t="str">
        <f>IF(tblStudents[[#This Row],[Result]]="Fail","F",INDEX(Lists!$J$4:$J$11,MATCH(tblStudents[[#This Row],[Total Marks]],Lists!$I$4:$I$11,1)))</f>
        <v>B+</v>
      </c>
      <c r="L188" s="81">
        <f>IF(tblStudents[[#This Row],[Result]]="Pass",ROUND(MIN(10,tblStudents[[#This Row],[Total Marks]]/p_SgpaDiv),2),0)</f>
        <v>6.63</v>
      </c>
      <c r="M188" s="82">
        <f>IF(COUNTIFS(tblStudents[[#This Row],[Branch]],cSt_B,tblStudents[[#This Row],[Semester]],cSt_S,tblStudents[[#This Row],[Year]],cSt_Y)=1,tblStudents[[#This Row],[Total Marks]]+ROW()/1000000,"")</f>
        <v>63.000188</v>
      </c>
    </row>
    <row r="189">
      <c r="A189" s="79" t="inlineStr">
        <is>
          <t>STU1185</t>
        </is>
      </c>
      <c r="B189" s="79" t="inlineStr">
        <is>
          <t>Rajat Gupta</t>
        </is>
      </c>
      <c r="C189" s="80" t="inlineStr">
        <is>
          <t>M</t>
        </is>
      </c>
      <c r="D189" s="80" t="inlineStr">
        <is>
          <t>CE</t>
        </is>
      </c>
      <c r="E189" s="80" t="n">
        <v>5</v>
      </c>
      <c r="F189" s="80" t="n">
        <v>2025</v>
      </c>
      <c r="G189" s="80" t="n">
        <v>33</v>
      </c>
      <c r="H189" s="80" t="n">
        <v>60</v>
      </c>
      <c r="I189" s="80">
        <f>tblStudents[[#This Row],[Internal Marks]]+tblStudents[[#This Row],[External Marks]]</f>
        <v>93</v>
      </c>
      <c r="J189" s="80" t="str">
        <f>IF(AND(tblStudents[[#This Row],[Total Marks]]&gt;=p_PassTotal,tblStudents[[#This Row],[External Marks]]&gt;=p_PassExt),"Pass","Fail")</f>
        <v>Pass</v>
      </c>
      <c r="K189" s="80" t="str">
        <f>IF(tblStudents[[#This Row],[Result]]="Fail","F",INDEX(Lists!$J$4:$J$11,MATCH(tblStudents[[#This Row],[Total Marks]],Lists!$I$4:$I$11,1)))</f>
        <v>O</v>
      </c>
      <c r="L189" s="81">
        <f>IF(tblStudents[[#This Row],[Result]]="Pass",ROUND(MIN(10,tblStudents[[#This Row],[Total Marks]]/p_SgpaDiv),2),0)</f>
        <v>9.79</v>
      </c>
      <c r="M189" s="82">
        <f>IF(COUNTIFS(tblStudents[[#This Row],[Branch]],cSt_B,tblStudents[[#This Row],[Semester]],cSt_S,tblStudents[[#This Row],[Year]],cSt_Y)=1,tblStudents[[#This Row],[Total Marks]]+ROW()/1000000,"")</f>
        <v>93.000189</v>
      </c>
    </row>
    <row r="190">
      <c r="A190" s="79" t="inlineStr">
        <is>
          <t>STU1186</t>
        </is>
      </c>
      <c r="B190" s="79" t="inlineStr">
        <is>
          <t>Garima Gupta</t>
        </is>
      </c>
      <c r="C190" s="80" t="inlineStr">
        <is>
          <t>F</t>
        </is>
      </c>
      <c r="D190" s="80" t="inlineStr">
        <is>
          <t>IT</t>
        </is>
      </c>
      <c r="E190" s="80" t="n">
        <v>7</v>
      </c>
      <c r="F190" s="80" t="n">
        <v>2025</v>
      </c>
      <c r="G190" s="80" t="n">
        <v>31</v>
      </c>
      <c r="H190" s="80" t="n">
        <v>40</v>
      </c>
      <c r="I190" s="80">
        <f>tblStudents[[#This Row],[Internal Marks]]+tblStudents[[#This Row],[External Marks]]</f>
        <v>71</v>
      </c>
      <c r="J190" s="80" t="str">
        <f>IF(AND(tblStudents[[#This Row],[Total Marks]]&gt;=p_PassTotal,tblStudents[[#This Row],[External Marks]]&gt;=p_PassExt),"Pass","Fail")</f>
        <v>Pass</v>
      </c>
      <c r="K190" s="80" t="str">
        <f>IF(tblStudents[[#This Row],[Result]]="Fail","F",INDEX(Lists!$J$4:$J$11,MATCH(tblStudents[[#This Row],[Total Marks]],Lists!$I$4:$I$11,1)))</f>
        <v>A</v>
      </c>
      <c r="L190" s="81">
        <f>IF(tblStudents[[#This Row],[Result]]="Pass",ROUND(MIN(10,tblStudents[[#This Row],[Total Marks]]/p_SgpaDiv),2),0)</f>
        <v>7.47</v>
      </c>
      <c r="M190" s="82">
        <f>IF(COUNTIFS(tblStudents[[#This Row],[Branch]],cSt_B,tblStudents[[#This Row],[Semester]],cSt_S,tblStudents[[#This Row],[Year]],cSt_Y)=1,tblStudents[[#This Row],[Total Marks]]+ROW()/1000000,"")</f>
        <v>71.00019</v>
      </c>
    </row>
    <row r="191">
      <c r="A191" s="79" t="inlineStr">
        <is>
          <t>STU1187</t>
        </is>
      </c>
      <c r="B191" s="79" t="inlineStr">
        <is>
          <t>Vivaan Shah</t>
        </is>
      </c>
      <c r="C191" s="80" t="inlineStr">
        <is>
          <t>M</t>
        </is>
      </c>
      <c r="D191" s="80" t="inlineStr">
        <is>
          <t>ME</t>
        </is>
      </c>
      <c r="E191" s="80" t="n">
        <v>6</v>
      </c>
      <c r="F191" s="80" t="n">
        <v>2023</v>
      </c>
      <c r="G191" s="80" t="n">
        <v>28</v>
      </c>
      <c r="H191" s="80" t="n">
        <v>51</v>
      </c>
      <c r="I191" s="80">
        <f>tblStudents[[#This Row],[Internal Marks]]+tblStudents[[#This Row],[External Marks]]</f>
        <v>79</v>
      </c>
      <c r="J191" s="80" t="str">
        <f>IF(AND(tblStudents[[#This Row],[Total Marks]]&gt;=p_PassTotal,tblStudents[[#This Row],[External Marks]]&gt;=p_PassExt),"Pass","Fail")</f>
        <v>Pass</v>
      </c>
      <c r="K191" s="80" t="str">
        <f>IF(tblStudents[[#This Row],[Result]]="Fail","F",INDEX(Lists!$J$4:$J$11,MATCH(tblStudents[[#This Row],[Total Marks]],Lists!$I$4:$I$11,1)))</f>
        <v>A</v>
      </c>
      <c r="L191" s="81">
        <f>IF(tblStudents[[#This Row],[Result]]="Pass",ROUND(MIN(10,tblStudents[[#This Row],[Total Marks]]/p_SgpaDiv),2),0)</f>
        <v>8.32</v>
      </c>
      <c r="M191" s="82">
        <f>IF(COUNTIFS(tblStudents[[#This Row],[Branch]],cSt_B,tblStudents[[#This Row],[Semester]],cSt_S,tblStudents[[#This Row],[Year]],cSt_Y)=1,tblStudents[[#This Row],[Total Marks]]+ROW()/1000000,"")</f>
        <v>79.000191</v>
      </c>
    </row>
    <row r="192">
      <c r="A192" s="79" t="inlineStr">
        <is>
          <t>STU1188</t>
        </is>
      </c>
      <c r="B192" s="79" t="inlineStr">
        <is>
          <t>Tushar Patel</t>
        </is>
      </c>
      <c r="C192" s="80" t="inlineStr">
        <is>
          <t>M</t>
        </is>
      </c>
      <c r="D192" s="80" t="inlineStr">
        <is>
          <t>CSE</t>
        </is>
      </c>
      <c r="E192" s="80" t="n">
        <v>1</v>
      </c>
      <c r="F192" s="80" t="n">
        <v>2024</v>
      </c>
      <c r="G192" s="80" t="n">
        <v>31</v>
      </c>
      <c r="H192" s="80" t="n">
        <v>39</v>
      </c>
      <c r="I192" s="80">
        <f>tblStudents[[#This Row],[Internal Marks]]+tblStudents[[#This Row],[External Marks]]</f>
        <v>70</v>
      </c>
      <c r="J192" s="80" t="str">
        <f>IF(AND(tblStudents[[#This Row],[Total Marks]]&gt;=p_PassTotal,tblStudents[[#This Row],[External Marks]]&gt;=p_PassExt),"Pass","Fail")</f>
        <v>Pass</v>
      </c>
      <c r="K192" s="80" t="str">
        <f>IF(tblStudents[[#This Row],[Result]]="Fail","F",INDEX(Lists!$J$4:$J$11,MATCH(tblStudents[[#This Row],[Total Marks]],Lists!$I$4:$I$11,1)))</f>
        <v>A</v>
      </c>
      <c r="L192" s="81">
        <f>IF(tblStudents[[#This Row],[Result]]="Pass",ROUND(MIN(10,tblStudents[[#This Row],[Total Marks]]/p_SgpaDiv),2),0)</f>
        <v>7.37</v>
      </c>
      <c r="M192" s="82">
        <f>IF(COUNTIFS(tblStudents[[#This Row],[Branch]],cSt_B,tblStudents[[#This Row],[Semester]],cSt_S,tblStudents[[#This Row],[Year]],cSt_Y)=1,tblStudents[[#This Row],[Total Marks]]+ROW()/1000000,"")</f>
        <v>70.000192</v>
      </c>
    </row>
    <row r="193">
      <c r="A193" s="79" t="inlineStr">
        <is>
          <t>STU1189</t>
        </is>
      </c>
      <c r="B193" s="79" t="inlineStr">
        <is>
          <t>Garima Kumar</t>
        </is>
      </c>
      <c r="C193" s="80" t="inlineStr">
        <is>
          <t>F</t>
        </is>
      </c>
      <c r="D193" s="80" t="inlineStr">
        <is>
          <t>IT</t>
        </is>
      </c>
      <c r="E193" s="80" t="n">
        <v>1</v>
      </c>
      <c r="F193" s="80" t="n">
        <v>2023</v>
      </c>
      <c r="G193" s="80" t="n">
        <v>33</v>
      </c>
      <c r="H193" s="80" t="n">
        <v>60</v>
      </c>
      <c r="I193" s="80">
        <f>tblStudents[[#This Row],[Internal Marks]]+tblStudents[[#This Row],[External Marks]]</f>
        <v>93</v>
      </c>
      <c r="J193" s="80" t="str">
        <f>IF(AND(tblStudents[[#This Row],[Total Marks]]&gt;=p_PassTotal,tblStudents[[#This Row],[External Marks]]&gt;=p_PassExt),"Pass","Fail")</f>
        <v>Pass</v>
      </c>
      <c r="K193" s="80" t="str">
        <f>IF(tblStudents[[#This Row],[Result]]="Fail","F",INDEX(Lists!$J$4:$J$11,MATCH(tblStudents[[#This Row],[Total Marks]],Lists!$I$4:$I$11,1)))</f>
        <v>O</v>
      </c>
      <c r="L193" s="81">
        <f>IF(tblStudents[[#This Row],[Result]]="Pass",ROUND(MIN(10,tblStudents[[#This Row],[Total Marks]]/p_SgpaDiv),2),0)</f>
        <v>9.79</v>
      </c>
      <c r="M193" s="82">
        <f>IF(COUNTIFS(tblStudents[[#This Row],[Branch]],cSt_B,tblStudents[[#This Row],[Semester]],cSt_S,tblStudents[[#This Row],[Year]],cSt_Y)=1,tblStudents[[#This Row],[Total Marks]]+ROW()/1000000,"")</f>
        <v>93.000193</v>
      </c>
    </row>
    <row r="194">
      <c r="A194" s="79" t="inlineStr">
        <is>
          <t>STU1190</t>
        </is>
      </c>
      <c r="B194" s="79" t="inlineStr">
        <is>
          <t>Tanvi Malik</t>
        </is>
      </c>
      <c r="C194" s="80" t="inlineStr">
        <is>
          <t>F</t>
        </is>
      </c>
      <c r="D194" s="80" t="inlineStr">
        <is>
          <t>ECE</t>
        </is>
      </c>
      <c r="E194" s="80" t="n">
        <v>6</v>
      </c>
      <c r="F194" s="80" t="n">
        <v>2023</v>
      </c>
      <c r="G194" s="80" t="n">
        <v>32</v>
      </c>
      <c r="H194" s="80" t="n">
        <v>37</v>
      </c>
      <c r="I194" s="80">
        <f>tblStudents[[#This Row],[Internal Marks]]+tblStudents[[#This Row],[External Marks]]</f>
        <v>69</v>
      </c>
      <c r="J194" s="80" t="str">
        <f>IF(AND(tblStudents[[#This Row],[Total Marks]]&gt;=p_PassTotal,tblStudents[[#This Row],[External Marks]]&gt;=p_PassExt),"Pass","Fail")</f>
        <v>Pass</v>
      </c>
      <c r="K194" s="80" t="str">
        <f>IF(tblStudents[[#This Row],[Result]]="Fail","F",INDEX(Lists!$J$4:$J$11,MATCH(tblStudents[[#This Row],[Total Marks]],Lists!$I$4:$I$11,1)))</f>
        <v>B+</v>
      </c>
      <c r="L194" s="81">
        <f>IF(tblStudents[[#This Row],[Result]]="Pass",ROUND(MIN(10,tblStudents[[#This Row],[Total Marks]]/p_SgpaDiv),2),0)</f>
        <v>7.26</v>
      </c>
      <c r="M194" s="82">
        <f>IF(COUNTIFS(tblStudents[[#This Row],[Branch]],cSt_B,tblStudents[[#This Row],[Semester]],cSt_S,tblStudents[[#This Row],[Year]],cSt_Y)=1,tblStudents[[#This Row],[Total Marks]]+ROW()/1000000,"")</f>
        <v>69.000194</v>
      </c>
    </row>
    <row r="195">
      <c r="A195" s="79" t="inlineStr">
        <is>
          <t>STU1191</t>
        </is>
      </c>
      <c r="B195" s="79" t="inlineStr">
        <is>
          <t>Parth Pandey</t>
        </is>
      </c>
      <c r="C195" s="80" t="inlineStr">
        <is>
          <t>M</t>
        </is>
      </c>
      <c r="D195" s="80" t="inlineStr">
        <is>
          <t>CE</t>
        </is>
      </c>
      <c r="E195" s="80" t="n">
        <v>1</v>
      </c>
      <c r="F195" s="80" t="n">
        <v>2024</v>
      </c>
      <c r="G195" s="80" t="n">
        <v>26</v>
      </c>
      <c r="H195" s="80" t="n">
        <v>32</v>
      </c>
      <c r="I195" s="80">
        <f>tblStudents[[#This Row],[Internal Marks]]+tblStudents[[#This Row],[External Marks]]</f>
        <v>58</v>
      </c>
      <c r="J195" s="80" t="str">
        <f>IF(AND(tblStudents[[#This Row],[Total Marks]]&gt;=p_PassTotal,tblStudents[[#This Row],[External Marks]]&gt;=p_PassExt),"Pass","Fail")</f>
        <v>Pass</v>
      </c>
      <c r="K195" s="80" t="str">
        <f>IF(tblStudents[[#This Row],[Result]]="Fail","F",INDEX(Lists!$J$4:$J$11,MATCH(tblStudents[[#This Row],[Total Marks]],Lists!$I$4:$I$11,1)))</f>
        <v>B</v>
      </c>
      <c r="L195" s="81">
        <f>IF(tblStudents[[#This Row],[Result]]="Pass",ROUND(MIN(10,tblStudents[[#This Row],[Total Marks]]/p_SgpaDiv),2),0)</f>
        <v>6.11</v>
      </c>
      <c r="M195" s="82">
        <f>IF(COUNTIFS(tblStudents[[#This Row],[Branch]],cSt_B,tblStudents[[#This Row],[Semester]],cSt_S,tblStudents[[#This Row],[Year]],cSt_Y)=1,tblStudents[[#This Row],[Total Marks]]+ROW()/1000000,"")</f>
        <v>58.000195</v>
      </c>
    </row>
    <row r="196">
      <c r="A196" s="79" t="inlineStr">
        <is>
          <t>STU1192</t>
        </is>
      </c>
      <c r="B196" s="79" t="inlineStr">
        <is>
          <t>Rohan Siddiqui</t>
        </is>
      </c>
      <c r="C196" s="80" t="inlineStr">
        <is>
          <t>M</t>
        </is>
      </c>
      <c r="D196" s="80" t="inlineStr">
        <is>
          <t>ME</t>
        </is>
      </c>
      <c r="E196" s="80" t="n">
        <v>1</v>
      </c>
      <c r="F196" s="80" t="n">
        <v>2025</v>
      </c>
      <c r="G196" s="80" t="n">
        <v>17</v>
      </c>
      <c r="H196" s="80" t="n">
        <v>21</v>
      </c>
      <c r="I196" s="80">
        <f>tblStudents[[#This Row],[Internal Marks]]+tblStudents[[#This Row],[External Marks]]</f>
        <v>38</v>
      </c>
      <c r="J196" s="80" t="str">
        <f>IF(AND(tblStudents[[#This Row],[Total Marks]]&gt;=p_PassTotal,tblStudents[[#This Row],[External Marks]]&gt;=p_PassExt),"Pass","Fail")</f>
        <v>Fail</v>
      </c>
      <c r="K196" s="80" t="str">
        <f>IF(tblStudents[[#This Row],[Result]]="Fail","F",INDEX(Lists!$J$4:$J$11,MATCH(tblStudents[[#This Row],[Total Marks]],Lists!$I$4:$I$11,1)))</f>
        <v>F</v>
      </c>
      <c r="L196" s="81">
        <f>IF(tblStudents[[#This Row],[Result]]="Pass",ROUND(MIN(10,tblStudents[[#This Row],[Total Marks]]/p_SgpaDiv),2),0)</f>
        <v>0</v>
      </c>
      <c r="M196" s="82">
        <f>IF(COUNTIFS(tblStudents[[#This Row],[Branch]],cSt_B,tblStudents[[#This Row],[Semester]],cSt_S,tblStudents[[#This Row],[Year]],cSt_Y)=1,tblStudents[[#This Row],[Total Marks]]+ROW()/1000000,"")</f>
        <v>38.000196</v>
      </c>
    </row>
    <row r="197">
      <c r="A197" s="79" t="inlineStr">
        <is>
          <t>STU1193</t>
        </is>
      </c>
      <c r="B197" s="79" t="inlineStr">
        <is>
          <t>Anjali Rastogi</t>
        </is>
      </c>
      <c r="C197" s="80" t="inlineStr">
        <is>
          <t>F</t>
        </is>
      </c>
      <c r="D197" s="80" t="inlineStr">
        <is>
          <t>ME</t>
        </is>
      </c>
      <c r="E197" s="80" t="n">
        <v>4</v>
      </c>
      <c r="F197" s="80" t="n">
        <v>2024</v>
      </c>
      <c r="G197" s="80" t="n">
        <v>20</v>
      </c>
      <c r="H197" s="80" t="n">
        <v>33</v>
      </c>
      <c r="I197" s="80">
        <f>tblStudents[[#This Row],[Internal Marks]]+tblStudents[[#This Row],[External Marks]]</f>
        <v>53</v>
      </c>
      <c r="J197" s="80" t="str">
        <f>IF(AND(tblStudents[[#This Row],[Total Marks]]&gt;=p_PassTotal,tblStudents[[#This Row],[External Marks]]&gt;=p_PassExt),"Pass","Fail")</f>
        <v>Pass</v>
      </c>
      <c r="K197" s="80" t="str">
        <f>IF(tblStudents[[#This Row],[Result]]="Fail","F",INDEX(Lists!$J$4:$J$11,MATCH(tblStudents[[#This Row],[Total Marks]],Lists!$I$4:$I$11,1)))</f>
        <v>B</v>
      </c>
      <c r="L197" s="81">
        <f>IF(tblStudents[[#This Row],[Result]]="Pass",ROUND(MIN(10,tblStudents[[#This Row],[Total Marks]]/p_SgpaDiv),2),0)</f>
        <v>5.58</v>
      </c>
      <c r="M197" s="82">
        <f>IF(COUNTIFS(tblStudents[[#This Row],[Branch]],cSt_B,tblStudents[[#This Row],[Semester]],cSt_S,tblStudents[[#This Row],[Year]],cSt_Y)=1,tblStudents[[#This Row],[Total Marks]]+ROW()/1000000,"")</f>
        <v>53.000197</v>
      </c>
    </row>
    <row r="198">
      <c r="A198" s="79" t="inlineStr">
        <is>
          <t>STU1194</t>
        </is>
      </c>
      <c r="B198" s="79" t="inlineStr">
        <is>
          <t>Abhishek Khan</t>
        </is>
      </c>
      <c r="C198" s="80" t="inlineStr">
        <is>
          <t>M</t>
        </is>
      </c>
      <c r="D198" s="80" t="inlineStr">
        <is>
          <t>ECE</t>
        </is>
      </c>
      <c r="E198" s="80" t="n">
        <v>5</v>
      </c>
      <c r="F198" s="80" t="n">
        <v>2024</v>
      </c>
      <c r="G198" s="80" t="n">
        <v>22</v>
      </c>
      <c r="H198" s="80" t="n">
        <v>36</v>
      </c>
      <c r="I198" s="80">
        <f>tblStudents[[#This Row],[Internal Marks]]+tblStudents[[#This Row],[External Marks]]</f>
        <v>58</v>
      </c>
      <c r="J198" s="80" t="str">
        <f>IF(AND(tblStudents[[#This Row],[Total Marks]]&gt;=p_PassTotal,tblStudents[[#This Row],[External Marks]]&gt;=p_PassExt),"Pass","Fail")</f>
        <v>Pass</v>
      </c>
      <c r="K198" s="80" t="str">
        <f>IF(tblStudents[[#This Row],[Result]]="Fail","F",INDEX(Lists!$J$4:$J$11,MATCH(tblStudents[[#This Row],[Total Marks]],Lists!$I$4:$I$11,1)))</f>
        <v>B</v>
      </c>
      <c r="L198" s="81">
        <f>IF(tblStudents[[#This Row],[Result]]="Pass",ROUND(MIN(10,tblStudents[[#This Row],[Total Marks]]/p_SgpaDiv),2),0)</f>
        <v>6.11</v>
      </c>
      <c r="M198" s="82">
        <f>IF(COUNTIFS(tblStudents[[#This Row],[Branch]],cSt_B,tblStudents[[#This Row],[Semester]],cSt_S,tblStudents[[#This Row],[Year]],cSt_Y)=1,tblStudents[[#This Row],[Total Marks]]+ROW()/1000000,"")</f>
        <v>58.000198</v>
      </c>
    </row>
    <row r="199">
      <c r="A199" s="79" t="inlineStr">
        <is>
          <t>STU1195</t>
        </is>
      </c>
      <c r="B199" s="79" t="inlineStr">
        <is>
          <t>Yash Dubey</t>
        </is>
      </c>
      <c r="C199" s="80" t="inlineStr">
        <is>
          <t>M</t>
        </is>
      </c>
      <c r="D199" s="80" t="inlineStr">
        <is>
          <t>ECE</t>
        </is>
      </c>
      <c r="E199" s="80" t="n">
        <v>1</v>
      </c>
      <c r="F199" s="80" t="n">
        <v>2026</v>
      </c>
      <c r="G199" s="80" t="n">
        <v>27</v>
      </c>
      <c r="H199" s="80" t="n">
        <v>30</v>
      </c>
      <c r="I199" s="80">
        <f>tblStudents[[#This Row],[Internal Marks]]+tblStudents[[#This Row],[External Marks]]</f>
        <v>57</v>
      </c>
      <c r="J199" s="80" t="str">
        <f>IF(AND(tblStudents[[#This Row],[Total Marks]]&gt;=p_PassTotal,tblStudents[[#This Row],[External Marks]]&gt;=p_PassExt),"Pass","Fail")</f>
        <v>Pass</v>
      </c>
      <c r="K199" s="80" t="str">
        <f>IF(tblStudents[[#This Row],[Result]]="Fail","F",INDEX(Lists!$J$4:$J$11,MATCH(tblStudents[[#This Row],[Total Marks]],Lists!$I$4:$I$11,1)))</f>
        <v>B</v>
      </c>
      <c r="L199" s="81">
        <f>IF(tblStudents[[#This Row],[Result]]="Pass",ROUND(MIN(10,tblStudents[[#This Row],[Total Marks]]/p_SgpaDiv),2),0)</f>
        <v>6</v>
      </c>
      <c r="M199" s="82">
        <f>IF(COUNTIFS(tblStudents[[#This Row],[Branch]],cSt_B,tblStudents[[#This Row],[Semester]],cSt_S,tblStudents[[#This Row],[Year]],cSt_Y)=1,tblStudents[[#This Row],[Total Marks]]+ROW()/1000000,"")</f>
        <v>57.000199</v>
      </c>
    </row>
    <row r="200">
      <c r="A200" s="79" t="inlineStr">
        <is>
          <t>STU1196</t>
        </is>
      </c>
      <c r="B200" s="79" t="inlineStr">
        <is>
          <t>Shubham Chauhan</t>
        </is>
      </c>
      <c r="C200" s="80" t="inlineStr">
        <is>
          <t>M</t>
        </is>
      </c>
      <c r="D200" s="80" t="inlineStr">
        <is>
          <t>ME</t>
        </is>
      </c>
      <c r="E200" s="80" t="n">
        <v>6</v>
      </c>
      <c r="F200" s="80" t="n">
        <v>2026</v>
      </c>
      <c r="G200" s="80" t="n">
        <v>33</v>
      </c>
      <c r="H200" s="80" t="n">
        <v>50</v>
      </c>
      <c r="I200" s="80">
        <f>tblStudents[[#This Row],[Internal Marks]]+tblStudents[[#This Row],[External Marks]]</f>
        <v>83</v>
      </c>
      <c r="J200" s="80" t="str">
        <f>IF(AND(tblStudents[[#This Row],[Total Marks]]&gt;=p_PassTotal,tblStudents[[#This Row],[External Marks]]&gt;=p_PassExt),"Pass","Fail")</f>
        <v>Pass</v>
      </c>
      <c r="K200" s="80" t="str">
        <f>IF(tblStudents[[#This Row],[Result]]="Fail","F",INDEX(Lists!$J$4:$J$11,MATCH(tblStudents[[#This Row],[Total Marks]],Lists!$I$4:$I$11,1)))</f>
        <v>A+</v>
      </c>
      <c r="L200" s="81">
        <f>IF(tblStudents[[#This Row],[Result]]="Pass",ROUND(MIN(10,tblStudents[[#This Row],[Total Marks]]/p_SgpaDiv),2),0)</f>
        <v>8.74</v>
      </c>
      <c r="M200" s="82">
        <f>IF(COUNTIFS(tblStudents[[#This Row],[Branch]],cSt_B,tblStudents[[#This Row],[Semester]],cSt_S,tblStudents[[#This Row],[Year]],cSt_Y)=1,tblStudents[[#This Row],[Total Marks]]+ROW()/1000000,"")</f>
        <v>83.0002</v>
      </c>
    </row>
    <row r="201">
      <c r="A201" s="79" t="inlineStr">
        <is>
          <t>STU1197</t>
        </is>
      </c>
      <c r="B201" s="79" t="inlineStr">
        <is>
          <t>Deepak Verma</t>
        </is>
      </c>
      <c r="C201" s="80" t="inlineStr">
        <is>
          <t>M</t>
        </is>
      </c>
      <c r="D201" s="80" t="inlineStr">
        <is>
          <t>ME</t>
        </is>
      </c>
      <c r="E201" s="80" t="n">
        <v>7</v>
      </c>
      <c r="F201" s="80" t="n">
        <v>2023</v>
      </c>
      <c r="G201" s="80" t="n">
        <v>31</v>
      </c>
      <c r="H201" s="80" t="n">
        <v>38</v>
      </c>
      <c r="I201" s="80">
        <f>tblStudents[[#This Row],[Internal Marks]]+tblStudents[[#This Row],[External Marks]]</f>
        <v>69</v>
      </c>
      <c r="J201" s="80" t="str">
        <f>IF(AND(tblStudents[[#This Row],[Total Marks]]&gt;=p_PassTotal,tblStudents[[#This Row],[External Marks]]&gt;=p_PassExt),"Pass","Fail")</f>
        <v>Pass</v>
      </c>
      <c r="K201" s="80" t="str">
        <f>IF(tblStudents[[#This Row],[Result]]="Fail","F",INDEX(Lists!$J$4:$J$11,MATCH(tblStudents[[#This Row],[Total Marks]],Lists!$I$4:$I$11,1)))</f>
        <v>B+</v>
      </c>
      <c r="L201" s="81">
        <f>IF(tblStudents[[#This Row],[Result]]="Pass",ROUND(MIN(10,tblStudents[[#This Row],[Total Marks]]/p_SgpaDiv),2),0)</f>
        <v>7.26</v>
      </c>
      <c r="M201" s="82">
        <f>IF(COUNTIFS(tblStudents[[#This Row],[Branch]],cSt_B,tblStudents[[#This Row],[Semester]],cSt_S,tblStudents[[#This Row],[Year]],cSt_Y)=1,tblStudents[[#This Row],[Total Marks]]+ROW()/1000000,"")</f>
        <v>69.000201</v>
      </c>
    </row>
    <row r="202">
      <c r="A202" s="79" t="inlineStr">
        <is>
          <t>STU1198</t>
        </is>
      </c>
      <c r="B202" s="79" t="inlineStr">
        <is>
          <t>Mohit Srivastava</t>
        </is>
      </c>
      <c r="C202" s="80" t="inlineStr">
        <is>
          <t>M</t>
        </is>
      </c>
      <c r="D202" s="80" t="inlineStr">
        <is>
          <t>CSE</t>
        </is>
      </c>
      <c r="E202" s="80" t="n">
        <v>8</v>
      </c>
      <c r="F202" s="80" t="n">
        <v>2023</v>
      </c>
      <c r="G202" s="80" t="n">
        <v>33</v>
      </c>
      <c r="H202" s="80" t="n">
        <v>16</v>
      </c>
      <c r="I202" s="80">
        <f>tblStudents[[#This Row],[Internal Marks]]+tblStudents[[#This Row],[External Marks]]</f>
        <v>49</v>
      </c>
      <c r="J202" s="80" t="str">
        <f>IF(AND(tblStudents[[#This Row],[Total Marks]]&gt;=p_PassTotal,tblStudents[[#This Row],[External Marks]]&gt;=p_PassExt),"Pass","Fail")</f>
        <v>Fail</v>
      </c>
      <c r="K202" s="80" t="str">
        <f>IF(tblStudents[[#This Row],[Result]]="Fail","F",INDEX(Lists!$J$4:$J$11,MATCH(tblStudents[[#This Row],[Total Marks]],Lists!$I$4:$I$11,1)))</f>
        <v>F</v>
      </c>
      <c r="L202" s="81">
        <f>IF(tblStudents[[#This Row],[Result]]="Pass",ROUND(MIN(10,tblStudents[[#This Row],[Total Marks]]/p_SgpaDiv),2),0)</f>
        <v>0</v>
      </c>
      <c r="M202" s="82">
        <f>IF(COUNTIFS(tblStudents[[#This Row],[Branch]],cSt_B,tblStudents[[#This Row],[Semester]],cSt_S,tblStudents[[#This Row],[Year]],cSt_Y)=1,tblStudents[[#This Row],[Total Marks]]+ROW()/1000000,"")</f>
        <v>49.000202</v>
      </c>
    </row>
    <row r="203">
      <c r="A203" s="79" t="inlineStr">
        <is>
          <t>STU1199</t>
        </is>
      </c>
      <c r="B203" s="79" t="inlineStr">
        <is>
          <t>Srishti Mehta</t>
        </is>
      </c>
      <c r="C203" s="80" t="inlineStr">
        <is>
          <t>F</t>
        </is>
      </c>
      <c r="D203" s="80" t="inlineStr">
        <is>
          <t>ECE</t>
        </is>
      </c>
      <c r="E203" s="80" t="n">
        <v>7</v>
      </c>
      <c r="F203" s="80" t="n">
        <v>2023</v>
      </c>
      <c r="G203" s="80" t="n">
        <v>23</v>
      </c>
      <c r="H203" s="80" t="n">
        <v>37</v>
      </c>
      <c r="I203" s="80">
        <f>tblStudents[[#This Row],[Internal Marks]]+tblStudents[[#This Row],[External Marks]]</f>
        <v>60</v>
      </c>
      <c r="J203" s="80" t="str">
        <f>IF(AND(tblStudents[[#This Row],[Total Marks]]&gt;=p_PassTotal,tblStudents[[#This Row],[External Marks]]&gt;=p_PassExt),"Pass","Fail")</f>
        <v>Pass</v>
      </c>
      <c r="K203" s="80" t="str">
        <f>IF(tblStudents[[#This Row],[Result]]="Fail","F",INDEX(Lists!$J$4:$J$11,MATCH(tblStudents[[#This Row],[Total Marks]],Lists!$I$4:$I$11,1)))</f>
        <v>B+</v>
      </c>
      <c r="L203" s="81">
        <f>IF(tblStudents[[#This Row],[Result]]="Pass",ROUND(MIN(10,tblStudents[[#This Row],[Total Marks]]/p_SgpaDiv),2),0)</f>
        <v>6.32</v>
      </c>
      <c r="M203" s="82">
        <f>IF(COUNTIFS(tblStudents[[#This Row],[Branch]],cSt_B,tblStudents[[#This Row],[Semester]],cSt_S,tblStudents[[#This Row],[Year]],cSt_Y)=1,tblStudents[[#This Row],[Total Marks]]+ROW()/1000000,"")</f>
        <v>60.000203</v>
      </c>
    </row>
    <row r="204">
      <c r="A204" s="79" t="inlineStr">
        <is>
          <t>STU1200</t>
        </is>
      </c>
      <c r="B204" s="79" t="inlineStr">
        <is>
          <t>Sneha Rastogi</t>
        </is>
      </c>
      <c r="C204" s="80" t="inlineStr">
        <is>
          <t>F</t>
        </is>
      </c>
      <c r="D204" s="80" t="inlineStr">
        <is>
          <t>ME</t>
        </is>
      </c>
      <c r="E204" s="80" t="n">
        <v>5</v>
      </c>
      <c r="F204" s="80" t="n">
        <v>2023</v>
      </c>
      <c r="G204" s="80" t="n">
        <v>27</v>
      </c>
      <c r="H204" s="80" t="n">
        <v>26</v>
      </c>
      <c r="I204" s="80">
        <f>tblStudents[[#This Row],[Internal Marks]]+tblStudents[[#This Row],[External Marks]]</f>
        <v>53</v>
      </c>
      <c r="J204" s="80" t="str">
        <f>IF(AND(tblStudents[[#This Row],[Total Marks]]&gt;=p_PassTotal,tblStudents[[#This Row],[External Marks]]&gt;=p_PassExt),"Pass","Fail")</f>
        <v>Pass</v>
      </c>
      <c r="K204" s="80" t="str">
        <f>IF(tblStudents[[#This Row],[Result]]="Fail","F",INDEX(Lists!$J$4:$J$11,MATCH(tblStudents[[#This Row],[Total Marks]],Lists!$I$4:$I$11,1)))</f>
        <v>B</v>
      </c>
      <c r="L204" s="81">
        <f>IF(tblStudents[[#This Row],[Result]]="Pass",ROUND(MIN(10,tblStudents[[#This Row],[Total Marks]]/p_SgpaDiv),2),0)</f>
        <v>5.58</v>
      </c>
      <c r="M204" s="82">
        <f>IF(COUNTIFS(tblStudents[[#This Row],[Branch]],cSt_B,tblStudents[[#This Row],[Semester]],cSt_S,tblStudents[[#This Row],[Year]],cSt_Y)=1,tblStudents[[#This Row],[Total Marks]]+ROW()/1000000,"")</f>
        <v>53.000204</v>
      </c>
    </row>
    <row r="205">
      <c r="A205" s="79" t="inlineStr">
        <is>
          <t>STU1201</t>
        </is>
      </c>
      <c r="B205" s="79" t="inlineStr">
        <is>
          <t>Ritika Rastogi</t>
        </is>
      </c>
      <c r="C205" s="80" t="inlineStr">
        <is>
          <t>F</t>
        </is>
      </c>
      <c r="D205" s="80" t="inlineStr">
        <is>
          <t>CSE</t>
        </is>
      </c>
      <c r="E205" s="80" t="n">
        <v>5</v>
      </c>
      <c r="F205" s="80" t="n">
        <v>2024</v>
      </c>
      <c r="G205" s="80" t="n">
        <v>26</v>
      </c>
      <c r="H205" s="80" t="n">
        <v>55</v>
      </c>
      <c r="I205" s="80">
        <f>tblStudents[[#This Row],[Internal Marks]]+tblStudents[[#This Row],[External Marks]]</f>
        <v>81</v>
      </c>
      <c r="J205" s="80" t="str">
        <f>IF(AND(tblStudents[[#This Row],[Total Marks]]&gt;=p_PassTotal,tblStudents[[#This Row],[External Marks]]&gt;=p_PassExt),"Pass","Fail")</f>
        <v>Pass</v>
      </c>
      <c r="K205" s="80" t="str">
        <f>IF(tblStudents[[#This Row],[Result]]="Fail","F",INDEX(Lists!$J$4:$J$11,MATCH(tblStudents[[#This Row],[Total Marks]],Lists!$I$4:$I$11,1)))</f>
        <v>A+</v>
      </c>
      <c r="L205" s="81">
        <f>IF(tblStudents[[#This Row],[Result]]="Pass",ROUND(MIN(10,tblStudents[[#This Row],[Total Marks]]/p_SgpaDiv),2),0)</f>
        <v>8.53</v>
      </c>
      <c r="M205" s="82">
        <f>IF(COUNTIFS(tblStudents[[#This Row],[Branch]],cSt_B,tblStudents[[#This Row],[Semester]],cSt_S,tblStudents[[#This Row],[Year]],cSt_Y)=1,tblStudents[[#This Row],[Total Marks]]+ROW()/1000000,"")</f>
        <v>81.000205</v>
      </c>
    </row>
    <row r="206">
      <c r="A206" s="79" t="inlineStr">
        <is>
          <t>STU1202</t>
        </is>
      </c>
      <c r="B206" s="79" t="inlineStr">
        <is>
          <t>Kartik Singh</t>
        </is>
      </c>
      <c r="C206" s="80" t="inlineStr">
        <is>
          <t>M</t>
        </is>
      </c>
      <c r="D206" s="80" t="inlineStr">
        <is>
          <t>CE</t>
        </is>
      </c>
      <c r="E206" s="80" t="n">
        <v>6</v>
      </c>
      <c r="F206" s="80" t="n">
        <v>2026</v>
      </c>
      <c r="G206" s="80" t="n">
        <v>17</v>
      </c>
      <c r="H206" s="80" t="n">
        <v>22</v>
      </c>
      <c r="I206" s="80">
        <f>tblStudents[[#This Row],[Internal Marks]]+tblStudents[[#This Row],[External Marks]]</f>
        <v>39</v>
      </c>
      <c r="J206" s="80" t="str">
        <f>IF(AND(tblStudents[[#This Row],[Total Marks]]&gt;=p_PassTotal,tblStudents[[#This Row],[External Marks]]&gt;=p_PassExt),"Pass","Fail")</f>
        <v>Fail</v>
      </c>
      <c r="K206" s="80" t="str">
        <f>IF(tblStudents[[#This Row],[Result]]="Fail","F",INDEX(Lists!$J$4:$J$11,MATCH(tblStudents[[#This Row],[Total Marks]],Lists!$I$4:$I$11,1)))</f>
        <v>F</v>
      </c>
      <c r="L206" s="81">
        <f>IF(tblStudents[[#This Row],[Result]]="Pass",ROUND(MIN(10,tblStudents[[#This Row],[Total Marks]]/p_SgpaDiv),2),0)</f>
        <v>0</v>
      </c>
      <c r="M206" s="82">
        <f>IF(COUNTIFS(tblStudents[[#This Row],[Branch]],cSt_B,tblStudents[[#This Row],[Semester]],cSt_S,tblStudents[[#This Row],[Year]],cSt_Y)=1,tblStudents[[#This Row],[Total Marks]]+ROW()/1000000,"")</f>
        <v>39.000206</v>
      </c>
    </row>
    <row r="207">
      <c r="A207" s="79" t="inlineStr">
        <is>
          <t>STU1203</t>
        </is>
      </c>
      <c r="B207" s="79" t="inlineStr">
        <is>
          <t>Aarushi Iyer</t>
        </is>
      </c>
      <c r="C207" s="80" t="inlineStr">
        <is>
          <t>F</t>
        </is>
      </c>
      <c r="D207" s="80" t="inlineStr">
        <is>
          <t>ECE</t>
        </is>
      </c>
      <c r="E207" s="80" t="n">
        <v>3</v>
      </c>
      <c r="F207" s="80" t="n">
        <v>2024</v>
      </c>
      <c r="G207" s="80" t="n">
        <v>34</v>
      </c>
      <c r="H207" s="80" t="n">
        <v>60</v>
      </c>
      <c r="I207" s="80">
        <f>tblStudents[[#This Row],[Internal Marks]]+tblStudents[[#This Row],[External Marks]]</f>
        <v>94</v>
      </c>
      <c r="J207" s="80" t="str">
        <f>IF(AND(tblStudents[[#This Row],[Total Marks]]&gt;=p_PassTotal,tblStudents[[#This Row],[External Marks]]&gt;=p_PassExt),"Pass","Fail")</f>
        <v>Pass</v>
      </c>
      <c r="K207" s="80" t="str">
        <f>IF(tblStudents[[#This Row],[Result]]="Fail","F",INDEX(Lists!$J$4:$J$11,MATCH(tblStudents[[#This Row],[Total Marks]],Lists!$I$4:$I$11,1)))</f>
        <v>O</v>
      </c>
      <c r="L207" s="81">
        <f>IF(tblStudents[[#This Row],[Result]]="Pass",ROUND(MIN(10,tblStudents[[#This Row],[Total Marks]]/p_SgpaDiv),2),0)</f>
        <v>9.89</v>
      </c>
      <c r="M207" s="82">
        <f>IF(COUNTIFS(tblStudents[[#This Row],[Branch]],cSt_B,tblStudents[[#This Row],[Semester]],cSt_S,tblStudents[[#This Row],[Year]],cSt_Y)=1,tblStudents[[#This Row],[Total Marks]]+ROW()/1000000,"")</f>
        <v>94.000207</v>
      </c>
    </row>
    <row r="208">
      <c r="A208" s="79" t="inlineStr">
        <is>
          <t>STU1204</t>
        </is>
      </c>
      <c r="B208" s="79" t="inlineStr">
        <is>
          <t>Riya Joshi</t>
        </is>
      </c>
      <c r="C208" s="80" t="inlineStr">
        <is>
          <t>F</t>
        </is>
      </c>
      <c r="D208" s="80" t="inlineStr">
        <is>
          <t>IT</t>
        </is>
      </c>
      <c r="E208" s="80" t="n">
        <v>1</v>
      </c>
      <c r="F208" s="80" t="n">
        <v>2024</v>
      </c>
      <c r="G208" s="80" t="n">
        <v>25</v>
      </c>
      <c r="H208" s="80" t="n">
        <v>32</v>
      </c>
      <c r="I208" s="80">
        <f>tblStudents[[#This Row],[Internal Marks]]+tblStudents[[#This Row],[External Marks]]</f>
        <v>57</v>
      </c>
      <c r="J208" s="80" t="str">
        <f>IF(AND(tblStudents[[#This Row],[Total Marks]]&gt;=p_PassTotal,tblStudents[[#This Row],[External Marks]]&gt;=p_PassExt),"Pass","Fail")</f>
        <v>Pass</v>
      </c>
      <c r="K208" s="80" t="str">
        <f>IF(tblStudents[[#This Row],[Result]]="Fail","F",INDEX(Lists!$J$4:$J$11,MATCH(tblStudents[[#This Row],[Total Marks]],Lists!$I$4:$I$11,1)))</f>
        <v>B</v>
      </c>
      <c r="L208" s="81">
        <f>IF(tblStudents[[#This Row],[Result]]="Pass",ROUND(MIN(10,tblStudents[[#This Row],[Total Marks]]/p_SgpaDiv),2),0)</f>
        <v>6</v>
      </c>
      <c r="M208" s="82">
        <f>IF(COUNTIFS(tblStudents[[#This Row],[Branch]],cSt_B,tblStudents[[#This Row],[Semester]],cSt_S,tblStudents[[#This Row],[Year]],cSt_Y)=1,tblStudents[[#This Row],[Total Marks]]+ROW()/1000000,"")</f>
        <v>57.000208</v>
      </c>
    </row>
    <row r="209">
      <c r="A209" s="79" t="inlineStr">
        <is>
          <t>STU1205</t>
        </is>
      </c>
      <c r="B209" s="79" t="inlineStr">
        <is>
          <t>Radhika Kumar</t>
        </is>
      </c>
      <c r="C209" s="80" t="inlineStr">
        <is>
          <t>F</t>
        </is>
      </c>
      <c r="D209" s="80" t="inlineStr">
        <is>
          <t>IT</t>
        </is>
      </c>
      <c r="E209" s="80" t="n">
        <v>7</v>
      </c>
      <c r="F209" s="80" t="n">
        <v>2026</v>
      </c>
      <c r="G209" s="80" t="n">
        <v>23</v>
      </c>
      <c r="H209" s="80" t="n">
        <v>27</v>
      </c>
      <c r="I209" s="80">
        <f>tblStudents[[#This Row],[Internal Marks]]+tblStudents[[#This Row],[External Marks]]</f>
        <v>50</v>
      </c>
      <c r="J209" s="80" t="str">
        <f>IF(AND(tblStudents[[#This Row],[Total Marks]]&gt;=p_PassTotal,tblStudents[[#This Row],[External Marks]]&gt;=p_PassExt),"Pass","Fail")</f>
        <v>Pass</v>
      </c>
      <c r="K209" s="80" t="str">
        <f>IF(tblStudents[[#This Row],[Result]]="Fail","F",INDEX(Lists!$J$4:$J$11,MATCH(tblStudents[[#This Row],[Total Marks]],Lists!$I$4:$I$11,1)))</f>
        <v>B</v>
      </c>
      <c r="L209" s="81">
        <f>IF(tblStudents[[#This Row],[Result]]="Pass",ROUND(MIN(10,tblStudents[[#This Row],[Total Marks]]/p_SgpaDiv),2),0)</f>
        <v>5.26</v>
      </c>
      <c r="M209" s="82">
        <f>IF(COUNTIFS(tblStudents[[#This Row],[Branch]],cSt_B,tblStudents[[#This Row],[Semester]],cSt_S,tblStudents[[#This Row],[Year]],cSt_Y)=1,tblStudents[[#This Row],[Total Marks]]+ROW()/1000000,"")</f>
        <v>50.000209</v>
      </c>
    </row>
    <row r="210">
      <c r="A210" s="79" t="inlineStr">
        <is>
          <t>STU1206</t>
        </is>
      </c>
      <c r="B210" s="79" t="inlineStr">
        <is>
          <t>Vaishnavi Ansari</t>
        </is>
      </c>
      <c r="C210" s="80" t="inlineStr">
        <is>
          <t>F</t>
        </is>
      </c>
      <c r="D210" s="80" t="inlineStr">
        <is>
          <t>IT</t>
        </is>
      </c>
      <c r="E210" s="80" t="n">
        <v>6</v>
      </c>
      <c r="F210" s="80" t="n">
        <v>2025</v>
      </c>
      <c r="G210" s="80" t="n">
        <v>23</v>
      </c>
      <c r="H210" s="80" t="n">
        <v>17</v>
      </c>
      <c r="I210" s="80">
        <f>tblStudents[[#This Row],[Internal Marks]]+tblStudents[[#This Row],[External Marks]]</f>
        <v>40</v>
      </c>
      <c r="J210" s="80" t="str">
        <f>IF(AND(tblStudents[[#This Row],[Total Marks]]&gt;=p_PassTotal,tblStudents[[#This Row],[External Marks]]&gt;=p_PassExt),"Pass","Fail")</f>
        <v>Fail</v>
      </c>
      <c r="K210" s="80" t="str">
        <f>IF(tblStudents[[#This Row],[Result]]="Fail","F",INDEX(Lists!$J$4:$J$11,MATCH(tblStudents[[#This Row],[Total Marks]],Lists!$I$4:$I$11,1)))</f>
        <v>F</v>
      </c>
      <c r="L210" s="81">
        <f>IF(tblStudents[[#This Row],[Result]]="Pass",ROUND(MIN(10,tblStudents[[#This Row],[Total Marks]]/p_SgpaDiv),2),0)</f>
        <v>0</v>
      </c>
      <c r="M210" s="82">
        <f>IF(COUNTIFS(tblStudents[[#This Row],[Branch]],cSt_B,tblStudents[[#This Row],[Semester]],cSt_S,tblStudents[[#This Row],[Year]],cSt_Y)=1,tblStudents[[#This Row],[Total Marks]]+ROW()/1000000,"")</f>
        <v>40.00021</v>
      </c>
    </row>
    <row r="211">
      <c r="A211" s="79" t="inlineStr">
        <is>
          <t>STU1207</t>
        </is>
      </c>
      <c r="B211" s="79" t="inlineStr">
        <is>
          <t>Komal Khan</t>
        </is>
      </c>
      <c r="C211" s="80" t="inlineStr">
        <is>
          <t>F</t>
        </is>
      </c>
      <c r="D211" s="80" t="inlineStr">
        <is>
          <t>CSE</t>
        </is>
      </c>
      <c r="E211" s="80" t="n">
        <v>7</v>
      </c>
      <c r="F211" s="80" t="n">
        <v>2026</v>
      </c>
      <c r="G211" s="80" t="n">
        <v>34</v>
      </c>
      <c r="H211" s="80" t="n">
        <v>48</v>
      </c>
      <c r="I211" s="80">
        <f>tblStudents[[#This Row],[Internal Marks]]+tblStudents[[#This Row],[External Marks]]</f>
        <v>82</v>
      </c>
      <c r="J211" s="80" t="str">
        <f>IF(AND(tblStudents[[#This Row],[Total Marks]]&gt;=p_PassTotal,tblStudents[[#This Row],[External Marks]]&gt;=p_PassExt),"Pass","Fail")</f>
        <v>Pass</v>
      </c>
      <c r="K211" s="80" t="str">
        <f>IF(tblStudents[[#This Row],[Result]]="Fail","F",INDEX(Lists!$J$4:$J$11,MATCH(tblStudents[[#This Row],[Total Marks]],Lists!$I$4:$I$11,1)))</f>
        <v>A+</v>
      </c>
      <c r="L211" s="81">
        <f>IF(tblStudents[[#This Row],[Result]]="Pass",ROUND(MIN(10,tblStudents[[#This Row],[Total Marks]]/p_SgpaDiv),2),0)</f>
        <v>8.63</v>
      </c>
      <c r="M211" s="82">
        <f>IF(COUNTIFS(tblStudents[[#This Row],[Branch]],cSt_B,tblStudents[[#This Row],[Semester]],cSt_S,tblStudents[[#This Row],[Year]],cSt_Y)=1,tblStudents[[#This Row],[Total Marks]]+ROW()/1000000,"")</f>
        <v>82.000211</v>
      </c>
    </row>
    <row r="212">
      <c r="A212" s="79" t="inlineStr">
        <is>
          <t>STU1208</t>
        </is>
      </c>
      <c r="B212" s="79" t="inlineStr">
        <is>
          <t>Deepak Malik</t>
        </is>
      </c>
      <c r="C212" s="80" t="inlineStr">
        <is>
          <t>M</t>
        </is>
      </c>
      <c r="D212" s="80" t="inlineStr">
        <is>
          <t>IT</t>
        </is>
      </c>
      <c r="E212" s="80" t="n">
        <v>8</v>
      </c>
      <c r="F212" s="80" t="n">
        <v>2023</v>
      </c>
      <c r="G212" s="80" t="n">
        <v>25</v>
      </c>
      <c r="H212" s="80" t="n">
        <v>43</v>
      </c>
      <c r="I212" s="80">
        <f>tblStudents[[#This Row],[Internal Marks]]+tblStudents[[#This Row],[External Marks]]</f>
        <v>68</v>
      </c>
      <c r="J212" s="80" t="str">
        <f>IF(AND(tblStudents[[#This Row],[Total Marks]]&gt;=p_PassTotal,tblStudents[[#This Row],[External Marks]]&gt;=p_PassExt),"Pass","Fail")</f>
        <v>Pass</v>
      </c>
      <c r="K212" s="80" t="str">
        <f>IF(tblStudents[[#This Row],[Result]]="Fail","F",INDEX(Lists!$J$4:$J$11,MATCH(tblStudents[[#This Row],[Total Marks]],Lists!$I$4:$I$11,1)))</f>
        <v>B+</v>
      </c>
      <c r="L212" s="81">
        <f>IF(tblStudents[[#This Row],[Result]]="Pass",ROUND(MIN(10,tblStudents[[#This Row],[Total Marks]]/p_SgpaDiv),2),0)</f>
        <v>7.16</v>
      </c>
      <c r="M212" s="82">
        <f>IF(COUNTIFS(tblStudents[[#This Row],[Branch]],cSt_B,tblStudents[[#This Row],[Semester]],cSt_S,tblStudents[[#This Row],[Year]],cSt_Y)=1,tblStudents[[#This Row],[Total Marks]]+ROW()/1000000,"")</f>
        <v>68.000212</v>
      </c>
    </row>
    <row r="213">
      <c r="A213" s="79" t="inlineStr">
        <is>
          <t>STU1209</t>
        </is>
      </c>
      <c r="B213" s="79" t="inlineStr">
        <is>
          <t>Abhishek Goel</t>
        </is>
      </c>
      <c r="C213" s="80" t="inlineStr">
        <is>
          <t>M</t>
        </is>
      </c>
      <c r="D213" s="80" t="inlineStr">
        <is>
          <t>CSE</t>
        </is>
      </c>
      <c r="E213" s="80" t="n">
        <v>4</v>
      </c>
      <c r="F213" s="80" t="n">
        <v>2024</v>
      </c>
      <c r="G213" s="80" t="n">
        <v>33</v>
      </c>
      <c r="H213" s="80" t="n">
        <v>44</v>
      </c>
      <c r="I213" s="80">
        <f>tblStudents[[#This Row],[Internal Marks]]+tblStudents[[#This Row],[External Marks]]</f>
        <v>77</v>
      </c>
      <c r="J213" s="80" t="str">
        <f>IF(AND(tblStudents[[#This Row],[Total Marks]]&gt;=p_PassTotal,tblStudents[[#This Row],[External Marks]]&gt;=p_PassExt),"Pass","Fail")</f>
        <v>Pass</v>
      </c>
      <c r="K213" s="80" t="str">
        <f>IF(tblStudents[[#This Row],[Result]]="Fail","F",INDEX(Lists!$J$4:$J$11,MATCH(tblStudents[[#This Row],[Total Marks]],Lists!$I$4:$I$11,1)))</f>
        <v>A</v>
      </c>
      <c r="L213" s="81">
        <f>IF(tblStudents[[#This Row],[Result]]="Pass",ROUND(MIN(10,tblStudents[[#This Row],[Total Marks]]/p_SgpaDiv),2),0)</f>
        <v>8.11</v>
      </c>
      <c r="M213" s="82">
        <f>IF(COUNTIFS(tblStudents[[#This Row],[Branch]],cSt_B,tblStudents[[#This Row],[Semester]],cSt_S,tblStudents[[#This Row],[Year]],cSt_Y)=1,tblStudents[[#This Row],[Total Marks]]+ROW()/1000000,"")</f>
        <v>77.000213</v>
      </c>
    </row>
    <row r="214">
      <c r="A214" s="79" t="inlineStr">
        <is>
          <t>STU1210</t>
        </is>
      </c>
      <c r="B214" s="79" t="inlineStr">
        <is>
          <t>Priya Kapoor</t>
        </is>
      </c>
      <c r="C214" s="80" t="inlineStr">
        <is>
          <t>F</t>
        </is>
      </c>
      <c r="D214" s="80" t="inlineStr">
        <is>
          <t>ME</t>
        </is>
      </c>
      <c r="E214" s="80" t="n">
        <v>8</v>
      </c>
      <c r="F214" s="80" t="n">
        <v>2026</v>
      </c>
      <c r="G214" s="80" t="n">
        <v>21</v>
      </c>
      <c r="H214" s="80" t="n">
        <v>48</v>
      </c>
      <c r="I214" s="80">
        <f>tblStudents[[#This Row],[Internal Marks]]+tblStudents[[#This Row],[External Marks]]</f>
        <v>69</v>
      </c>
      <c r="J214" s="80" t="str">
        <f>IF(AND(tblStudents[[#This Row],[Total Marks]]&gt;=p_PassTotal,tblStudents[[#This Row],[External Marks]]&gt;=p_PassExt),"Pass","Fail")</f>
        <v>Pass</v>
      </c>
      <c r="K214" s="80" t="str">
        <f>IF(tblStudents[[#This Row],[Result]]="Fail","F",INDEX(Lists!$J$4:$J$11,MATCH(tblStudents[[#This Row],[Total Marks]],Lists!$I$4:$I$11,1)))</f>
        <v>B+</v>
      </c>
      <c r="L214" s="81">
        <f>IF(tblStudents[[#This Row],[Result]]="Pass",ROUND(MIN(10,tblStudents[[#This Row],[Total Marks]]/p_SgpaDiv),2),0)</f>
        <v>7.26</v>
      </c>
      <c r="M214" s="82">
        <f>IF(COUNTIFS(tblStudents[[#This Row],[Branch]],cSt_B,tblStudents[[#This Row],[Semester]],cSt_S,tblStudents[[#This Row],[Year]],cSt_Y)=1,tblStudents[[#This Row],[Total Marks]]+ROW()/1000000,"")</f>
        <v>69.000214</v>
      </c>
    </row>
    <row r="215">
      <c r="A215" s="79" t="inlineStr">
        <is>
          <t>STU1211</t>
        </is>
      </c>
      <c r="B215" s="79" t="inlineStr">
        <is>
          <t>Muskan Das</t>
        </is>
      </c>
      <c r="C215" s="80" t="inlineStr">
        <is>
          <t>F</t>
        </is>
      </c>
      <c r="D215" s="80" t="inlineStr">
        <is>
          <t>ME</t>
        </is>
      </c>
      <c r="E215" s="80" t="n">
        <v>1</v>
      </c>
      <c r="F215" s="80" t="n">
        <v>2023</v>
      </c>
      <c r="G215" s="80" t="n">
        <v>32</v>
      </c>
      <c r="H215" s="80" t="n">
        <v>48</v>
      </c>
      <c r="I215" s="80">
        <f>tblStudents[[#This Row],[Internal Marks]]+tblStudents[[#This Row],[External Marks]]</f>
        <v>80</v>
      </c>
      <c r="J215" s="80" t="str">
        <f>IF(AND(tblStudents[[#This Row],[Total Marks]]&gt;=p_PassTotal,tblStudents[[#This Row],[External Marks]]&gt;=p_PassExt),"Pass","Fail")</f>
        <v>Pass</v>
      </c>
      <c r="K215" s="80" t="str">
        <f>IF(tblStudents[[#This Row],[Result]]="Fail","F",INDEX(Lists!$J$4:$J$11,MATCH(tblStudents[[#This Row],[Total Marks]],Lists!$I$4:$I$11,1)))</f>
        <v>A+</v>
      </c>
      <c r="L215" s="81">
        <f>IF(tblStudents[[#This Row],[Result]]="Pass",ROUND(MIN(10,tblStudents[[#This Row],[Total Marks]]/p_SgpaDiv),2),0)</f>
        <v>8.42</v>
      </c>
      <c r="M215" s="82">
        <f>IF(COUNTIFS(tblStudents[[#This Row],[Branch]],cSt_B,tblStudents[[#This Row],[Semester]],cSt_S,tblStudents[[#This Row],[Year]],cSt_Y)=1,tblStudents[[#This Row],[Total Marks]]+ROW()/1000000,"")</f>
        <v>80.000215</v>
      </c>
    </row>
    <row r="216">
      <c r="A216" s="79" t="inlineStr">
        <is>
          <t>STU1212</t>
        </is>
      </c>
      <c r="B216" s="79" t="inlineStr">
        <is>
          <t>Naveen Saxena</t>
        </is>
      </c>
      <c r="C216" s="80" t="inlineStr">
        <is>
          <t>M</t>
        </is>
      </c>
      <c r="D216" s="80" t="inlineStr">
        <is>
          <t>CSE</t>
        </is>
      </c>
      <c r="E216" s="80" t="n">
        <v>2</v>
      </c>
      <c r="F216" s="80" t="n">
        <v>2026</v>
      </c>
      <c r="G216" s="80" t="n">
        <v>28</v>
      </c>
      <c r="H216" s="80" t="n">
        <v>35</v>
      </c>
      <c r="I216" s="80">
        <f>tblStudents[[#This Row],[Internal Marks]]+tblStudents[[#This Row],[External Marks]]</f>
        <v>63</v>
      </c>
      <c r="J216" s="80" t="str">
        <f>IF(AND(tblStudents[[#This Row],[Total Marks]]&gt;=p_PassTotal,tblStudents[[#This Row],[External Marks]]&gt;=p_PassExt),"Pass","Fail")</f>
        <v>Pass</v>
      </c>
      <c r="K216" s="80" t="str">
        <f>IF(tblStudents[[#This Row],[Result]]="Fail","F",INDEX(Lists!$J$4:$J$11,MATCH(tblStudents[[#This Row],[Total Marks]],Lists!$I$4:$I$11,1)))</f>
        <v>B+</v>
      </c>
      <c r="L216" s="81">
        <f>IF(tblStudents[[#This Row],[Result]]="Pass",ROUND(MIN(10,tblStudents[[#This Row],[Total Marks]]/p_SgpaDiv),2),0)</f>
        <v>6.63</v>
      </c>
      <c r="M216" s="82">
        <f>IF(COUNTIFS(tblStudents[[#This Row],[Branch]],cSt_B,tblStudents[[#This Row],[Semester]],cSt_S,tblStudents[[#This Row],[Year]],cSt_Y)=1,tblStudents[[#This Row],[Total Marks]]+ROW()/1000000,"")</f>
        <v>63.000216</v>
      </c>
    </row>
    <row r="217">
      <c r="A217" s="79" t="inlineStr">
        <is>
          <t>STU1213</t>
        </is>
      </c>
      <c r="B217" s="79" t="inlineStr">
        <is>
          <t>Divya Kapoor</t>
        </is>
      </c>
      <c r="C217" s="80" t="inlineStr">
        <is>
          <t>F</t>
        </is>
      </c>
      <c r="D217" s="80" t="inlineStr">
        <is>
          <t>IT</t>
        </is>
      </c>
      <c r="E217" s="80" t="n">
        <v>2</v>
      </c>
      <c r="F217" s="80" t="n">
        <v>2025</v>
      </c>
      <c r="G217" s="80" t="n">
        <v>22</v>
      </c>
      <c r="H217" s="80" t="n">
        <v>30</v>
      </c>
      <c r="I217" s="80">
        <f>tblStudents[[#This Row],[Internal Marks]]+tblStudents[[#This Row],[External Marks]]</f>
        <v>52</v>
      </c>
      <c r="J217" s="80" t="str">
        <f>IF(AND(tblStudents[[#This Row],[Total Marks]]&gt;=p_PassTotal,tblStudents[[#This Row],[External Marks]]&gt;=p_PassExt),"Pass","Fail")</f>
        <v>Pass</v>
      </c>
      <c r="K217" s="80" t="str">
        <f>IF(tblStudents[[#This Row],[Result]]="Fail","F",INDEX(Lists!$J$4:$J$11,MATCH(tblStudents[[#This Row],[Total Marks]],Lists!$I$4:$I$11,1)))</f>
        <v>B</v>
      </c>
      <c r="L217" s="81">
        <f>IF(tblStudents[[#This Row],[Result]]="Pass",ROUND(MIN(10,tblStudents[[#This Row],[Total Marks]]/p_SgpaDiv),2),0)</f>
        <v>5.47</v>
      </c>
      <c r="M217" s="82">
        <f>IF(COUNTIFS(tblStudents[[#This Row],[Branch]],cSt_B,tblStudents[[#This Row],[Semester]],cSt_S,tblStudents[[#This Row],[Year]],cSt_Y)=1,tblStudents[[#This Row],[Total Marks]]+ROW()/1000000,"")</f>
        <v>52.000217</v>
      </c>
    </row>
    <row r="218">
      <c r="A218" s="79" t="inlineStr">
        <is>
          <t>STU1214</t>
        </is>
      </c>
      <c r="B218" s="79" t="inlineStr">
        <is>
          <t>Jhanvi Kumar</t>
        </is>
      </c>
      <c r="C218" s="80" t="inlineStr">
        <is>
          <t>F</t>
        </is>
      </c>
      <c r="D218" s="80" t="inlineStr">
        <is>
          <t>ECE</t>
        </is>
      </c>
      <c r="E218" s="80" t="n">
        <v>8</v>
      </c>
      <c r="F218" s="80" t="n">
        <v>2024</v>
      </c>
      <c r="G218" s="80" t="n">
        <v>28</v>
      </c>
      <c r="H218" s="80" t="n">
        <v>43</v>
      </c>
      <c r="I218" s="80">
        <f>tblStudents[[#This Row],[Internal Marks]]+tblStudents[[#This Row],[External Marks]]</f>
        <v>71</v>
      </c>
      <c r="J218" s="80" t="str">
        <f>IF(AND(tblStudents[[#This Row],[Total Marks]]&gt;=p_PassTotal,tblStudents[[#This Row],[External Marks]]&gt;=p_PassExt),"Pass","Fail")</f>
        <v>Pass</v>
      </c>
      <c r="K218" s="80" t="str">
        <f>IF(tblStudents[[#This Row],[Result]]="Fail","F",INDEX(Lists!$J$4:$J$11,MATCH(tblStudents[[#This Row],[Total Marks]],Lists!$I$4:$I$11,1)))</f>
        <v>A</v>
      </c>
      <c r="L218" s="81">
        <f>IF(tblStudents[[#This Row],[Result]]="Pass",ROUND(MIN(10,tblStudents[[#This Row],[Total Marks]]/p_SgpaDiv),2),0)</f>
        <v>7.47</v>
      </c>
      <c r="M218" s="82">
        <f>IF(COUNTIFS(tblStudents[[#This Row],[Branch]],cSt_B,tblStudents[[#This Row],[Semester]],cSt_S,tblStudents[[#This Row],[Year]],cSt_Y)=1,tblStudents[[#This Row],[Total Marks]]+ROW()/1000000,"")</f>
        <v>71.000218</v>
      </c>
    </row>
    <row r="219">
      <c r="A219" s="79" t="inlineStr">
        <is>
          <t>STU1215</t>
        </is>
      </c>
      <c r="B219" s="79" t="inlineStr">
        <is>
          <t>Khushi Pandey</t>
        </is>
      </c>
      <c r="C219" s="80" t="inlineStr">
        <is>
          <t>F</t>
        </is>
      </c>
      <c r="D219" s="80" t="inlineStr">
        <is>
          <t>IT</t>
        </is>
      </c>
      <c r="E219" s="80" t="n">
        <v>8</v>
      </c>
      <c r="F219" s="80" t="n">
        <v>2026</v>
      </c>
      <c r="G219" s="80" t="n">
        <v>30</v>
      </c>
      <c r="H219" s="80" t="n">
        <v>42</v>
      </c>
      <c r="I219" s="80">
        <f>tblStudents[[#This Row],[Internal Marks]]+tblStudents[[#This Row],[External Marks]]</f>
        <v>72</v>
      </c>
      <c r="J219" s="80" t="str">
        <f>IF(AND(tblStudents[[#This Row],[Total Marks]]&gt;=p_PassTotal,tblStudents[[#This Row],[External Marks]]&gt;=p_PassExt),"Pass","Fail")</f>
        <v>Pass</v>
      </c>
      <c r="K219" s="80" t="str">
        <f>IF(tblStudents[[#This Row],[Result]]="Fail","F",INDEX(Lists!$J$4:$J$11,MATCH(tblStudents[[#This Row],[Total Marks]],Lists!$I$4:$I$11,1)))</f>
        <v>A</v>
      </c>
      <c r="L219" s="81">
        <f>IF(tblStudents[[#This Row],[Result]]="Pass",ROUND(MIN(10,tblStudents[[#This Row],[Total Marks]]/p_SgpaDiv),2),0)</f>
        <v>7.58</v>
      </c>
      <c r="M219" s="82">
        <f>IF(COUNTIFS(tblStudents[[#This Row],[Branch]],cSt_B,tblStudents[[#This Row],[Semester]],cSt_S,tblStudents[[#This Row],[Year]],cSt_Y)=1,tblStudents[[#This Row],[Total Marks]]+ROW()/1000000,"")</f>
        <v>72.000219</v>
      </c>
    </row>
    <row r="220">
      <c r="A220" s="79" t="inlineStr">
        <is>
          <t>STU1216</t>
        </is>
      </c>
      <c r="B220" s="79" t="inlineStr">
        <is>
          <t>Ankit Rastogi</t>
        </is>
      </c>
      <c r="C220" s="80" t="inlineStr">
        <is>
          <t>M</t>
        </is>
      </c>
      <c r="D220" s="80" t="inlineStr">
        <is>
          <t>IT</t>
        </is>
      </c>
      <c r="E220" s="80" t="n">
        <v>7</v>
      </c>
      <c r="F220" s="80" t="n">
        <v>2025</v>
      </c>
      <c r="G220" s="80" t="n">
        <v>29</v>
      </c>
      <c r="H220" s="80" t="n">
        <v>48</v>
      </c>
      <c r="I220" s="80">
        <f>tblStudents[[#This Row],[Internal Marks]]+tblStudents[[#This Row],[External Marks]]</f>
        <v>77</v>
      </c>
      <c r="J220" s="80" t="str">
        <f>IF(AND(tblStudents[[#This Row],[Total Marks]]&gt;=p_PassTotal,tblStudents[[#This Row],[External Marks]]&gt;=p_PassExt),"Pass","Fail")</f>
        <v>Pass</v>
      </c>
      <c r="K220" s="80" t="str">
        <f>IF(tblStudents[[#This Row],[Result]]="Fail","F",INDEX(Lists!$J$4:$J$11,MATCH(tblStudents[[#This Row],[Total Marks]],Lists!$I$4:$I$11,1)))</f>
        <v>A</v>
      </c>
      <c r="L220" s="81">
        <f>IF(tblStudents[[#This Row],[Result]]="Pass",ROUND(MIN(10,tblStudents[[#This Row],[Total Marks]]/p_SgpaDiv),2),0)</f>
        <v>8.11</v>
      </c>
      <c r="M220" s="82">
        <f>IF(COUNTIFS(tblStudents[[#This Row],[Branch]],cSt_B,tblStudents[[#This Row],[Semester]],cSt_S,tblStudents[[#This Row],[Year]],cSt_Y)=1,tblStudents[[#This Row],[Total Marks]]+ROW()/1000000,"")</f>
        <v>77.00022</v>
      </c>
    </row>
    <row r="221">
      <c r="A221" s="79" t="inlineStr">
        <is>
          <t>STU1217</t>
        </is>
      </c>
      <c r="B221" s="79" t="inlineStr">
        <is>
          <t>Amit Malik</t>
        </is>
      </c>
      <c r="C221" s="80" t="inlineStr">
        <is>
          <t>M</t>
        </is>
      </c>
      <c r="D221" s="80" t="inlineStr">
        <is>
          <t>IT</t>
        </is>
      </c>
      <c r="E221" s="80" t="n">
        <v>4</v>
      </c>
      <c r="F221" s="80" t="n">
        <v>2025</v>
      </c>
      <c r="G221" s="80" t="n">
        <v>18</v>
      </c>
      <c r="H221" s="80" t="n">
        <v>18</v>
      </c>
      <c r="I221" s="80">
        <f>tblStudents[[#This Row],[Internal Marks]]+tblStudents[[#This Row],[External Marks]]</f>
        <v>36</v>
      </c>
      <c r="J221" s="80" t="str">
        <f>IF(AND(tblStudents[[#This Row],[Total Marks]]&gt;=p_PassTotal,tblStudents[[#This Row],[External Marks]]&gt;=p_PassExt),"Pass","Fail")</f>
        <v>Fail</v>
      </c>
      <c r="K221" s="80" t="str">
        <f>IF(tblStudents[[#This Row],[Result]]="Fail","F",INDEX(Lists!$J$4:$J$11,MATCH(tblStudents[[#This Row],[Total Marks]],Lists!$I$4:$I$11,1)))</f>
        <v>F</v>
      </c>
      <c r="L221" s="81">
        <f>IF(tblStudents[[#This Row],[Result]]="Pass",ROUND(MIN(10,tblStudents[[#This Row],[Total Marks]]/p_SgpaDiv),2),0)</f>
        <v>0</v>
      </c>
      <c r="M221" s="82">
        <f>IF(COUNTIFS(tblStudents[[#This Row],[Branch]],cSt_B,tblStudents[[#This Row],[Semester]],cSt_S,tblStudents[[#This Row],[Year]],cSt_Y)=1,tblStudents[[#This Row],[Total Marks]]+ROW()/1000000,"")</f>
        <v>36.000221</v>
      </c>
    </row>
    <row r="222">
      <c r="A222" s="79" t="inlineStr">
        <is>
          <t>STU1218</t>
        </is>
      </c>
      <c r="B222" s="79" t="inlineStr">
        <is>
          <t>Ankit Garg</t>
        </is>
      </c>
      <c r="C222" s="80" t="inlineStr">
        <is>
          <t>M</t>
        </is>
      </c>
      <c r="D222" s="80" t="inlineStr">
        <is>
          <t>IT</t>
        </is>
      </c>
      <c r="E222" s="80" t="n">
        <v>8</v>
      </c>
      <c r="F222" s="80" t="n">
        <v>2025</v>
      </c>
      <c r="G222" s="80" t="n">
        <v>32</v>
      </c>
      <c r="H222" s="80" t="n">
        <v>32</v>
      </c>
      <c r="I222" s="80">
        <f>tblStudents[[#This Row],[Internal Marks]]+tblStudents[[#This Row],[External Marks]]</f>
        <v>64</v>
      </c>
      <c r="J222" s="80" t="str">
        <f>IF(AND(tblStudents[[#This Row],[Total Marks]]&gt;=p_PassTotal,tblStudents[[#This Row],[External Marks]]&gt;=p_PassExt),"Pass","Fail")</f>
        <v>Pass</v>
      </c>
      <c r="K222" s="80" t="str">
        <f>IF(tblStudents[[#This Row],[Result]]="Fail","F",INDEX(Lists!$J$4:$J$11,MATCH(tblStudents[[#This Row],[Total Marks]],Lists!$I$4:$I$11,1)))</f>
        <v>B+</v>
      </c>
      <c r="L222" s="81">
        <f>IF(tblStudents[[#This Row],[Result]]="Pass",ROUND(MIN(10,tblStudents[[#This Row],[Total Marks]]/p_SgpaDiv),2),0)</f>
        <v>6.74</v>
      </c>
      <c r="M222" s="82">
        <f>IF(COUNTIFS(tblStudents[[#This Row],[Branch]],cSt_B,tblStudents[[#This Row],[Semester]],cSt_S,tblStudents[[#This Row],[Year]],cSt_Y)=1,tblStudents[[#This Row],[Total Marks]]+ROW()/1000000,"")</f>
        <v>64.000222</v>
      </c>
    </row>
    <row r="223">
      <c r="A223" s="79" t="inlineStr">
        <is>
          <t>STU1219</t>
        </is>
      </c>
      <c r="B223" s="79" t="inlineStr">
        <is>
          <t>Radhika Nair</t>
        </is>
      </c>
      <c r="C223" s="80" t="inlineStr">
        <is>
          <t>F</t>
        </is>
      </c>
      <c r="D223" s="80" t="inlineStr">
        <is>
          <t>ECE</t>
        </is>
      </c>
      <c r="E223" s="80" t="n">
        <v>8</v>
      </c>
      <c r="F223" s="80" t="n">
        <v>2023</v>
      </c>
      <c r="G223" s="80" t="n">
        <v>30</v>
      </c>
      <c r="H223" s="80" t="n">
        <v>50</v>
      </c>
      <c r="I223" s="80">
        <f>tblStudents[[#This Row],[Internal Marks]]+tblStudents[[#This Row],[External Marks]]</f>
        <v>80</v>
      </c>
      <c r="J223" s="80" t="str">
        <f>IF(AND(tblStudents[[#This Row],[Total Marks]]&gt;=p_PassTotal,tblStudents[[#This Row],[External Marks]]&gt;=p_PassExt),"Pass","Fail")</f>
        <v>Pass</v>
      </c>
      <c r="K223" s="80" t="str">
        <f>IF(tblStudents[[#This Row],[Result]]="Fail","F",INDEX(Lists!$J$4:$J$11,MATCH(tblStudents[[#This Row],[Total Marks]],Lists!$I$4:$I$11,1)))</f>
        <v>A+</v>
      </c>
      <c r="L223" s="81">
        <f>IF(tblStudents[[#This Row],[Result]]="Pass",ROUND(MIN(10,tblStudents[[#This Row],[Total Marks]]/p_SgpaDiv),2),0)</f>
        <v>8.42</v>
      </c>
      <c r="M223" s="82">
        <f>IF(COUNTIFS(tblStudents[[#This Row],[Branch]],cSt_B,tblStudents[[#This Row],[Semester]],cSt_S,tblStudents[[#This Row],[Year]],cSt_Y)=1,tblStudents[[#This Row],[Total Marks]]+ROW()/1000000,"")</f>
        <v>80.000223</v>
      </c>
    </row>
    <row r="224">
      <c r="A224" s="79" t="inlineStr">
        <is>
          <t>STU1220</t>
        </is>
      </c>
      <c r="B224" s="79" t="inlineStr">
        <is>
          <t>Shreya Iyer</t>
        </is>
      </c>
      <c r="C224" s="80" t="inlineStr">
        <is>
          <t>F</t>
        </is>
      </c>
      <c r="D224" s="80" t="inlineStr">
        <is>
          <t>ECE</t>
        </is>
      </c>
      <c r="E224" s="80" t="n">
        <v>2</v>
      </c>
      <c r="F224" s="80" t="n">
        <v>2023</v>
      </c>
      <c r="G224" s="80" t="n">
        <v>29</v>
      </c>
      <c r="H224" s="80" t="n">
        <v>32</v>
      </c>
      <c r="I224" s="80">
        <f>tblStudents[[#This Row],[Internal Marks]]+tblStudents[[#This Row],[External Marks]]</f>
        <v>61</v>
      </c>
      <c r="J224" s="80" t="str">
        <f>IF(AND(tblStudents[[#This Row],[Total Marks]]&gt;=p_PassTotal,tblStudents[[#This Row],[External Marks]]&gt;=p_PassExt),"Pass","Fail")</f>
        <v>Pass</v>
      </c>
      <c r="K224" s="80" t="str">
        <f>IF(tblStudents[[#This Row],[Result]]="Fail","F",INDEX(Lists!$J$4:$J$11,MATCH(tblStudents[[#This Row],[Total Marks]],Lists!$I$4:$I$11,1)))</f>
        <v>B+</v>
      </c>
      <c r="L224" s="81">
        <f>IF(tblStudents[[#This Row],[Result]]="Pass",ROUND(MIN(10,tblStudents[[#This Row],[Total Marks]]/p_SgpaDiv),2),0)</f>
        <v>6.42</v>
      </c>
      <c r="M224" s="82">
        <f>IF(COUNTIFS(tblStudents[[#This Row],[Branch]],cSt_B,tblStudents[[#This Row],[Semester]],cSt_S,tblStudents[[#This Row],[Year]],cSt_Y)=1,tblStudents[[#This Row],[Total Marks]]+ROW()/1000000,"")</f>
        <v>61.000224</v>
      </c>
    </row>
    <row r="225">
      <c r="A225" s="79" t="inlineStr">
        <is>
          <t>STU1221</t>
        </is>
      </c>
      <c r="B225" s="79" t="inlineStr">
        <is>
          <t>Anjali Iyer</t>
        </is>
      </c>
      <c r="C225" s="80" t="inlineStr">
        <is>
          <t>F</t>
        </is>
      </c>
      <c r="D225" s="80" t="inlineStr">
        <is>
          <t>IT</t>
        </is>
      </c>
      <c r="E225" s="80" t="n">
        <v>6</v>
      </c>
      <c r="F225" s="80" t="n">
        <v>2024</v>
      </c>
      <c r="G225" s="80" t="n">
        <v>28</v>
      </c>
      <c r="H225" s="80" t="n">
        <v>29</v>
      </c>
      <c r="I225" s="80">
        <f>tblStudents[[#This Row],[Internal Marks]]+tblStudents[[#This Row],[External Marks]]</f>
        <v>57</v>
      </c>
      <c r="J225" s="80" t="str">
        <f>IF(AND(tblStudents[[#This Row],[Total Marks]]&gt;=p_PassTotal,tblStudents[[#This Row],[External Marks]]&gt;=p_PassExt),"Pass","Fail")</f>
        <v>Pass</v>
      </c>
      <c r="K225" s="80" t="str">
        <f>IF(tblStudents[[#This Row],[Result]]="Fail","F",INDEX(Lists!$J$4:$J$11,MATCH(tblStudents[[#This Row],[Total Marks]],Lists!$I$4:$I$11,1)))</f>
        <v>B</v>
      </c>
      <c r="L225" s="81">
        <f>IF(tblStudents[[#This Row],[Result]]="Pass",ROUND(MIN(10,tblStudents[[#This Row],[Total Marks]]/p_SgpaDiv),2),0)</f>
        <v>6</v>
      </c>
      <c r="M225" s="82">
        <f>IF(COUNTIFS(tblStudents[[#This Row],[Branch]],cSt_B,tblStudents[[#This Row],[Semester]],cSt_S,tblStudents[[#This Row],[Year]],cSt_Y)=1,tblStudents[[#This Row],[Total Marks]]+ROW()/1000000,"")</f>
        <v>57.000225</v>
      </c>
    </row>
    <row r="226">
      <c r="A226" s="79" t="inlineStr">
        <is>
          <t>STU1222</t>
        </is>
      </c>
      <c r="B226" s="79" t="inlineStr">
        <is>
          <t>Arjun Bhatt</t>
        </is>
      </c>
      <c r="C226" s="80" t="inlineStr">
        <is>
          <t>M</t>
        </is>
      </c>
      <c r="D226" s="80" t="inlineStr">
        <is>
          <t>CSE</t>
        </is>
      </c>
      <c r="E226" s="80" t="n">
        <v>7</v>
      </c>
      <c r="F226" s="80" t="n">
        <v>2025</v>
      </c>
      <c r="G226" s="80" t="n">
        <v>27</v>
      </c>
      <c r="H226" s="80" t="n">
        <v>17</v>
      </c>
      <c r="I226" s="80">
        <f>tblStudents[[#This Row],[Internal Marks]]+tblStudents[[#This Row],[External Marks]]</f>
        <v>44</v>
      </c>
      <c r="J226" s="80" t="str">
        <f>IF(AND(tblStudents[[#This Row],[Total Marks]]&gt;=p_PassTotal,tblStudents[[#This Row],[External Marks]]&gt;=p_PassExt),"Pass","Fail")</f>
        <v>Fail</v>
      </c>
      <c r="K226" s="80" t="str">
        <f>IF(tblStudents[[#This Row],[Result]]="Fail","F",INDEX(Lists!$J$4:$J$11,MATCH(tblStudents[[#This Row],[Total Marks]],Lists!$I$4:$I$11,1)))</f>
        <v>F</v>
      </c>
      <c r="L226" s="81">
        <f>IF(tblStudents[[#This Row],[Result]]="Pass",ROUND(MIN(10,tblStudents[[#This Row],[Total Marks]]/p_SgpaDiv),2),0)</f>
        <v>0</v>
      </c>
      <c r="M226" s="82">
        <f>IF(COUNTIFS(tblStudents[[#This Row],[Branch]],cSt_B,tblStudents[[#This Row],[Semester]],cSt_S,tblStudents[[#This Row],[Year]],cSt_Y)=1,tblStudents[[#This Row],[Total Marks]]+ROW()/1000000,"")</f>
        <v>44.000226</v>
      </c>
    </row>
    <row r="227">
      <c r="A227" s="79" t="inlineStr">
        <is>
          <t>STU1223</t>
        </is>
      </c>
      <c r="B227" s="79" t="inlineStr">
        <is>
          <t>Kartik Rastogi</t>
        </is>
      </c>
      <c r="C227" s="80" t="inlineStr">
        <is>
          <t>M</t>
        </is>
      </c>
      <c r="D227" s="80" t="inlineStr">
        <is>
          <t>CSE</t>
        </is>
      </c>
      <c r="E227" s="80" t="n">
        <v>1</v>
      </c>
      <c r="F227" s="80" t="n">
        <v>2026</v>
      </c>
      <c r="G227" s="80" t="n">
        <v>37</v>
      </c>
      <c r="H227" s="80" t="n">
        <v>55</v>
      </c>
      <c r="I227" s="80">
        <f>tblStudents[[#This Row],[Internal Marks]]+tblStudents[[#This Row],[External Marks]]</f>
        <v>92</v>
      </c>
      <c r="J227" s="80" t="str">
        <f>IF(AND(tblStudents[[#This Row],[Total Marks]]&gt;=p_PassTotal,tblStudents[[#This Row],[External Marks]]&gt;=p_PassExt),"Pass","Fail")</f>
        <v>Pass</v>
      </c>
      <c r="K227" s="80" t="str">
        <f>IF(tblStudents[[#This Row],[Result]]="Fail","F",INDEX(Lists!$J$4:$J$11,MATCH(tblStudents[[#This Row],[Total Marks]],Lists!$I$4:$I$11,1)))</f>
        <v>O</v>
      </c>
      <c r="L227" s="81">
        <f>IF(tblStudents[[#This Row],[Result]]="Pass",ROUND(MIN(10,tblStudents[[#This Row],[Total Marks]]/p_SgpaDiv),2),0)</f>
        <v>9.68</v>
      </c>
      <c r="M227" s="82">
        <f>IF(COUNTIFS(tblStudents[[#This Row],[Branch]],cSt_B,tblStudents[[#This Row],[Semester]],cSt_S,tblStudents[[#This Row],[Year]],cSt_Y)=1,tblStudents[[#This Row],[Total Marks]]+ROW()/1000000,"")</f>
        <v>92.000227</v>
      </c>
    </row>
    <row r="228">
      <c r="A228" s="79" t="inlineStr">
        <is>
          <t>STU1224</t>
        </is>
      </c>
      <c r="B228" s="79" t="inlineStr">
        <is>
          <t>Vikram Srivastava</t>
        </is>
      </c>
      <c r="C228" s="80" t="inlineStr">
        <is>
          <t>M</t>
        </is>
      </c>
      <c r="D228" s="80" t="inlineStr">
        <is>
          <t>IT</t>
        </is>
      </c>
      <c r="E228" s="80" t="n">
        <v>4</v>
      </c>
      <c r="F228" s="80" t="n">
        <v>2023</v>
      </c>
      <c r="G228" s="80" t="n">
        <v>32</v>
      </c>
      <c r="H228" s="80" t="n">
        <v>48</v>
      </c>
      <c r="I228" s="80">
        <f>tblStudents[[#This Row],[Internal Marks]]+tblStudents[[#This Row],[External Marks]]</f>
        <v>80</v>
      </c>
      <c r="J228" s="80" t="str">
        <f>IF(AND(tblStudents[[#This Row],[Total Marks]]&gt;=p_PassTotal,tblStudents[[#This Row],[External Marks]]&gt;=p_PassExt),"Pass","Fail")</f>
        <v>Pass</v>
      </c>
      <c r="K228" s="80" t="str">
        <f>IF(tblStudents[[#This Row],[Result]]="Fail","F",INDEX(Lists!$J$4:$J$11,MATCH(tblStudents[[#This Row],[Total Marks]],Lists!$I$4:$I$11,1)))</f>
        <v>A+</v>
      </c>
      <c r="L228" s="81">
        <f>IF(tblStudents[[#This Row],[Result]]="Pass",ROUND(MIN(10,tblStudents[[#This Row],[Total Marks]]/p_SgpaDiv),2),0)</f>
        <v>8.42</v>
      </c>
      <c r="M228" s="82">
        <f>IF(COUNTIFS(tblStudents[[#This Row],[Branch]],cSt_B,tblStudents[[#This Row],[Semester]],cSt_S,tblStudents[[#This Row],[Year]],cSt_Y)=1,tblStudents[[#This Row],[Total Marks]]+ROW()/1000000,"")</f>
        <v>80.000228</v>
      </c>
    </row>
    <row r="229">
      <c r="A229" s="79" t="inlineStr">
        <is>
          <t>STU1225</t>
        </is>
      </c>
      <c r="B229" s="79" t="inlineStr">
        <is>
          <t>Tanvi Garg</t>
        </is>
      </c>
      <c r="C229" s="80" t="inlineStr">
        <is>
          <t>F</t>
        </is>
      </c>
      <c r="D229" s="80" t="inlineStr">
        <is>
          <t>CE</t>
        </is>
      </c>
      <c r="E229" s="80" t="n">
        <v>3</v>
      </c>
      <c r="F229" s="80" t="n">
        <v>2024</v>
      </c>
      <c r="G229" s="80" t="n">
        <v>32</v>
      </c>
      <c r="H229" s="80" t="n">
        <v>43</v>
      </c>
      <c r="I229" s="80">
        <f>tblStudents[[#This Row],[Internal Marks]]+tblStudents[[#This Row],[External Marks]]</f>
        <v>75</v>
      </c>
      <c r="J229" s="80" t="str">
        <f>IF(AND(tblStudents[[#This Row],[Total Marks]]&gt;=p_PassTotal,tblStudents[[#This Row],[External Marks]]&gt;=p_PassExt),"Pass","Fail")</f>
        <v>Pass</v>
      </c>
      <c r="K229" s="80" t="str">
        <f>IF(tblStudents[[#This Row],[Result]]="Fail","F",INDEX(Lists!$J$4:$J$11,MATCH(tblStudents[[#This Row],[Total Marks]],Lists!$I$4:$I$11,1)))</f>
        <v>A</v>
      </c>
      <c r="L229" s="81">
        <f>IF(tblStudents[[#This Row],[Result]]="Pass",ROUND(MIN(10,tblStudents[[#This Row],[Total Marks]]/p_SgpaDiv),2),0)</f>
        <v>7.89</v>
      </c>
      <c r="M229" s="82">
        <f>IF(COUNTIFS(tblStudents[[#This Row],[Branch]],cSt_B,tblStudents[[#This Row],[Semester]],cSt_S,tblStudents[[#This Row],[Year]],cSt_Y)=1,tblStudents[[#This Row],[Total Marks]]+ROW()/1000000,"")</f>
        <v>75.000229</v>
      </c>
    </row>
    <row r="230">
      <c r="A230" s="79" t="inlineStr">
        <is>
          <t>STU1226</t>
        </is>
      </c>
      <c r="B230" s="79" t="inlineStr">
        <is>
          <t>Rajat Tiwari</t>
        </is>
      </c>
      <c r="C230" s="80" t="inlineStr">
        <is>
          <t>M</t>
        </is>
      </c>
      <c r="D230" s="80" t="inlineStr">
        <is>
          <t>IT</t>
        </is>
      </c>
      <c r="E230" s="80" t="n">
        <v>3</v>
      </c>
      <c r="F230" s="80" t="n">
        <v>2024</v>
      </c>
      <c r="G230" s="80" t="n">
        <v>35</v>
      </c>
      <c r="H230" s="80" t="n">
        <v>51</v>
      </c>
      <c r="I230" s="80">
        <f>tblStudents[[#This Row],[Internal Marks]]+tblStudents[[#This Row],[External Marks]]</f>
        <v>86</v>
      </c>
      <c r="J230" s="80" t="str">
        <f>IF(AND(tblStudents[[#This Row],[Total Marks]]&gt;=p_PassTotal,tblStudents[[#This Row],[External Marks]]&gt;=p_PassExt),"Pass","Fail")</f>
        <v>Pass</v>
      </c>
      <c r="K230" s="80" t="str">
        <f>IF(tblStudents[[#This Row],[Result]]="Fail","F",INDEX(Lists!$J$4:$J$11,MATCH(tblStudents[[#This Row],[Total Marks]],Lists!$I$4:$I$11,1)))</f>
        <v>A+</v>
      </c>
      <c r="L230" s="81">
        <f>IF(tblStudents[[#This Row],[Result]]="Pass",ROUND(MIN(10,tblStudents[[#This Row],[Total Marks]]/p_SgpaDiv),2),0)</f>
        <v>9.05</v>
      </c>
      <c r="M230" s="82">
        <f>IF(COUNTIFS(tblStudents[[#This Row],[Branch]],cSt_B,tblStudents[[#This Row],[Semester]],cSt_S,tblStudents[[#This Row],[Year]],cSt_Y)=1,tblStudents[[#This Row],[Total Marks]]+ROW()/1000000,"")</f>
        <v>86.00023</v>
      </c>
    </row>
    <row r="231">
      <c r="A231" s="79" t="inlineStr">
        <is>
          <t>STU1227</t>
        </is>
      </c>
      <c r="B231" s="79" t="inlineStr">
        <is>
          <t>Shruti Siddiqui</t>
        </is>
      </c>
      <c r="C231" s="80" t="inlineStr">
        <is>
          <t>F</t>
        </is>
      </c>
      <c r="D231" s="80" t="inlineStr">
        <is>
          <t>IT</t>
        </is>
      </c>
      <c r="E231" s="80" t="n">
        <v>5</v>
      </c>
      <c r="F231" s="80" t="n">
        <v>2025</v>
      </c>
      <c r="G231" s="80" t="n">
        <v>25</v>
      </c>
      <c r="H231" s="80" t="n">
        <v>31</v>
      </c>
      <c r="I231" s="80">
        <f>tblStudents[[#This Row],[Internal Marks]]+tblStudents[[#This Row],[External Marks]]</f>
        <v>56</v>
      </c>
      <c r="J231" s="80" t="str">
        <f>IF(AND(tblStudents[[#This Row],[Total Marks]]&gt;=p_PassTotal,tblStudents[[#This Row],[External Marks]]&gt;=p_PassExt),"Pass","Fail")</f>
        <v>Pass</v>
      </c>
      <c r="K231" s="80" t="str">
        <f>IF(tblStudents[[#This Row],[Result]]="Fail","F",INDEX(Lists!$J$4:$J$11,MATCH(tblStudents[[#This Row],[Total Marks]],Lists!$I$4:$I$11,1)))</f>
        <v>B</v>
      </c>
      <c r="L231" s="81">
        <f>IF(tblStudents[[#This Row],[Result]]="Pass",ROUND(MIN(10,tblStudents[[#This Row],[Total Marks]]/p_SgpaDiv),2),0)</f>
        <v>5.89</v>
      </c>
      <c r="M231" s="82">
        <f>IF(COUNTIFS(tblStudents[[#This Row],[Branch]],cSt_B,tblStudents[[#This Row],[Semester]],cSt_S,tblStudents[[#This Row],[Year]],cSt_Y)=1,tblStudents[[#This Row],[Total Marks]]+ROW()/1000000,"")</f>
        <v>56.000231</v>
      </c>
    </row>
    <row r="232">
      <c r="A232" s="79" t="inlineStr">
        <is>
          <t>STU1228</t>
        </is>
      </c>
      <c r="B232" s="79" t="inlineStr">
        <is>
          <t>Khushi Garg</t>
        </is>
      </c>
      <c r="C232" s="80" t="inlineStr">
        <is>
          <t>F</t>
        </is>
      </c>
      <c r="D232" s="80" t="inlineStr">
        <is>
          <t>ME</t>
        </is>
      </c>
      <c r="E232" s="80" t="n">
        <v>3</v>
      </c>
      <c r="F232" s="80" t="n">
        <v>2023</v>
      </c>
      <c r="G232" s="80" t="n">
        <v>25</v>
      </c>
      <c r="H232" s="80" t="n">
        <v>51</v>
      </c>
      <c r="I232" s="80">
        <f>tblStudents[[#This Row],[Internal Marks]]+tblStudents[[#This Row],[External Marks]]</f>
        <v>76</v>
      </c>
      <c r="J232" s="80" t="str">
        <f>IF(AND(tblStudents[[#This Row],[Total Marks]]&gt;=p_PassTotal,tblStudents[[#This Row],[External Marks]]&gt;=p_PassExt),"Pass","Fail")</f>
        <v>Pass</v>
      </c>
      <c r="K232" s="80" t="str">
        <f>IF(tblStudents[[#This Row],[Result]]="Fail","F",INDEX(Lists!$J$4:$J$11,MATCH(tblStudents[[#This Row],[Total Marks]],Lists!$I$4:$I$11,1)))</f>
        <v>A</v>
      </c>
      <c r="L232" s="81">
        <f>IF(tblStudents[[#This Row],[Result]]="Pass",ROUND(MIN(10,tblStudents[[#This Row],[Total Marks]]/p_SgpaDiv),2),0)</f>
        <v>8</v>
      </c>
      <c r="M232" s="82">
        <f>IF(COUNTIFS(tblStudents[[#This Row],[Branch]],cSt_B,tblStudents[[#This Row],[Semester]],cSt_S,tblStudents[[#This Row],[Year]],cSt_Y)=1,tblStudents[[#This Row],[Total Marks]]+ROW()/1000000,"")</f>
        <v>76.000232</v>
      </c>
    </row>
    <row r="233">
      <c r="A233" s="79" t="inlineStr">
        <is>
          <t>STU1229</t>
        </is>
      </c>
      <c r="B233" s="79" t="inlineStr">
        <is>
          <t>Divya Sharma</t>
        </is>
      </c>
      <c r="C233" s="80" t="inlineStr">
        <is>
          <t>F</t>
        </is>
      </c>
      <c r="D233" s="80" t="inlineStr">
        <is>
          <t>ME</t>
        </is>
      </c>
      <c r="E233" s="80" t="n">
        <v>8</v>
      </c>
      <c r="F233" s="80" t="n">
        <v>2025</v>
      </c>
      <c r="G233" s="80" t="n">
        <v>36</v>
      </c>
      <c r="H233" s="80" t="n">
        <v>45</v>
      </c>
      <c r="I233" s="80">
        <f>tblStudents[[#This Row],[Internal Marks]]+tblStudents[[#This Row],[External Marks]]</f>
        <v>81</v>
      </c>
      <c r="J233" s="80" t="str">
        <f>IF(AND(tblStudents[[#This Row],[Total Marks]]&gt;=p_PassTotal,tblStudents[[#This Row],[External Marks]]&gt;=p_PassExt),"Pass","Fail")</f>
        <v>Pass</v>
      </c>
      <c r="K233" s="80" t="str">
        <f>IF(tblStudents[[#This Row],[Result]]="Fail","F",INDEX(Lists!$J$4:$J$11,MATCH(tblStudents[[#This Row],[Total Marks]],Lists!$I$4:$I$11,1)))</f>
        <v>A+</v>
      </c>
      <c r="L233" s="81">
        <f>IF(tblStudents[[#This Row],[Result]]="Pass",ROUND(MIN(10,tblStudents[[#This Row],[Total Marks]]/p_SgpaDiv),2),0)</f>
        <v>8.53</v>
      </c>
      <c r="M233" s="82">
        <f>IF(COUNTIFS(tblStudents[[#This Row],[Branch]],cSt_B,tblStudents[[#This Row],[Semester]],cSt_S,tblStudents[[#This Row],[Year]],cSt_Y)=1,tblStudents[[#This Row],[Total Marks]]+ROW()/1000000,"")</f>
        <v>81.000233</v>
      </c>
    </row>
    <row r="234">
      <c r="A234" s="79" t="inlineStr">
        <is>
          <t>STU1230</t>
        </is>
      </c>
      <c r="B234" s="79" t="inlineStr">
        <is>
          <t>Neha Kapoor</t>
        </is>
      </c>
      <c r="C234" s="80" t="inlineStr">
        <is>
          <t>F</t>
        </is>
      </c>
      <c r="D234" s="80" t="inlineStr">
        <is>
          <t>CE</t>
        </is>
      </c>
      <c r="E234" s="80" t="n">
        <v>2</v>
      </c>
      <c r="F234" s="80" t="n">
        <v>2024</v>
      </c>
      <c r="G234" s="80" t="n">
        <v>27</v>
      </c>
      <c r="H234" s="80" t="n">
        <v>26</v>
      </c>
      <c r="I234" s="80">
        <f>tblStudents[[#This Row],[Internal Marks]]+tblStudents[[#This Row],[External Marks]]</f>
        <v>53</v>
      </c>
      <c r="J234" s="80" t="str">
        <f>IF(AND(tblStudents[[#This Row],[Total Marks]]&gt;=p_PassTotal,tblStudents[[#This Row],[External Marks]]&gt;=p_PassExt),"Pass","Fail")</f>
        <v>Pass</v>
      </c>
      <c r="K234" s="80" t="str">
        <f>IF(tblStudents[[#This Row],[Result]]="Fail","F",INDEX(Lists!$J$4:$J$11,MATCH(tblStudents[[#This Row],[Total Marks]],Lists!$I$4:$I$11,1)))</f>
        <v>B</v>
      </c>
      <c r="L234" s="81">
        <f>IF(tblStudents[[#This Row],[Result]]="Pass",ROUND(MIN(10,tblStudents[[#This Row],[Total Marks]]/p_SgpaDiv),2),0)</f>
        <v>5.58</v>
      </c>
      <c r="M234" s="82">
        <f>IF(COUNTIFS(tblStudents[[#This Row],[Branch]],cSt_B,tblStudents[[#This Row],[Semester]],cSt_S,tblStudents[[#This Row],[Year]],cSt_Y)=1,tblStudents[[#This Row],[Total Marks]]+ROW()/1000000,"")</f>
        <v>53.000234</v>
      </c>
    </row>
    <row r="235">
      <c r="A235" s="79" t="inlineStr">
        <is>
          <t>STU1231</t>
        </is>
      </c>
      <c r="B235" s="79" t="inlineStr">
        <is>
          <t>Ishaan Joshi</t>
        </is>
      </c>
      <c r="C235" s="80" t="inlineStr">
        <is>
          <t>M</t>
        </is>
      </c>
      <c r="D235" s="80" t="inlineStr">
        <is>
          <t>CSE</t>
        </is>
      </c>
      <c r="E235" s="80" t="n">
        <v>3</v>
      </c>
      <c r="F235" s="80" t="n">
        <v>2025</v>
      </c>
      <c r="G235" s="80" t="n">
        <v>24</v>
      </c>
      <c r="H235" s="80" t="n">
        <v>23</v>
      </c>
      <c r="I235" s="80">
        <f>tblStudents[[#This Row],[Internal Marks]]+tblStudents[[#This Row],[External Marks]]</f>
        <v>47</v>
      </c>
      <c r="J235" s="80" t="str">
        <f>IF(AND(tblStudents[[#This Row],[Total Marks]]&gt;=p_PassTotal,tblStudents[[#This Row],[External Marks]]&gt;=p_PassExt),"Pass","Fail")</f>
        <v>Fail</v>
      </c>
      <c r="K235" s="80" t="str">
        <f>IF(tblStudents[[#This Row],[Result]]="Fail","F",INDEX(Lists!$J$4:$J$11,MATCH(tblStudents[[#This Row],[Total Marks]],Lists!$I$4:$I$11,1)))</f>
        <v>F</v>
      </c>
      <c r="L235" s="81">
        <f>IF(tblStudents[[#This Row],[Result]]="Pass",ROUND(MIN(10,tblStudents[[#This Row],[Total Marks]]/p_SgpaDiv),2),0)</f>
        <v>0</v>
      </c>
      <c r="M235" s="82">
        <f>IF(COUNTIFS(tblStudents[[#This Row],[Branch]],cSt_B,tblStudents[[#This Row],[Semester]],cSt_S,tblStudents[[#This Row],[Year]],cSt_Y)=1,tblStudents[[#This Row],[Total Marks]]+ROW()/1000000,"")</f>
        <v>47.000235</v>
      </c>
    </row>
    <row r="236">
      <c r="A236" s="79" t="inlineStr">
        <is>
          <t>STU1232</t>
        </is>
      </c>
      <c r="B236" s="79" t="inlineStr">
        <is>
          <t>Kartik Sharma</t>
        </is>
      </c>
      <c r="C236" s="80" t="inlineStr">
        <is>
          <t>M</t>
        </is>
      </c>
      <c r="D236" s="80" t="inlineStr">
        <is>
          <t>ME</t>
        </is>
      </c>
      <c r="E236" s="80" t="n">
        <v>7</v>
      </c>
      <c r="F236" s="80" t="n">
        <v>2024</v>
      </c>
      <c r="G236" s="80" t="n">
        <v>26</v>
      </c>
      <c r="H236" s="80" t="n">
        <v>45</v>
      </c>
      <c r="I236" s="80">
        <f>tblStudents[[#This Row],[Internal Marks]]+tblStudents[[#This Row],[External Marks]]</f>
        <v>71</v>
      </c>
      <c r="J236" s="80" t="str">
        <f>IF(AND(tblStudents[[#This Row],[Total Marks]]&gt;=p_PassTotal,tblStudents[[#This Row],[External Marks]]&gt;=p_PassExt),"Pass","Fail")</f>
        <v>Pass</v>
      </c>
      <c r="K236" s="80" t="str">
        <f>IF(tblStudents[[#This Row],[Result]]="Fail","F",INDEX(Lists!$J$4:$J$11,MATCH(tblStudents[[#This Row],[Total Marks]],Lists!$I$4:$I$11,1)))</f>
        <v>A</v>
      </c>
      <c r="L236" s="81">
        <f>IF(tblStudents[[#This Row],[Result]]="Pass",ROUND(MIN(10,tblStudents[[#This Row],[Total Marks]]/p_SgpaDiv),2),0)</f>
        <v>7.47</v>
      </c>
      <c r="M236" s="82">
        <f>IF(COUNTIFS(tblStudents[[#This Row],[Branch]],cSt_B,tblStudents[[#This Row],[Semester]],cSt_S,tblStudents[[#This Row],[Year]],cSt_Y)=1,tblStudents[[#This Row],[Total Marks]]+ROW()/1000000,"")</f>
        <v>71.000236</v>
      </c>
    </row>
    <row r="237">
      <c r="A237" s="79" t="inlineStr">
        <is>
          <t>STU1233</t>
        </is>
      </c>
      <c r="B237" s="79" t="inlineStr">
        <is>
          <t>Pallavi Jain</t>
        </is>
      </c>
      <c r="C237" s="80" t="inlineStr">
        <is>
          <t>F</t>
        </is>
      </c>
      <c r="D237" s="80" t="inlineStr">
        <is>
          <t>ME</t>
        </is>
      </c>
      <c r="E237" s="80" t="n">
        <v>4</v>
      </c>
      <c r="F237" s="80" t="n">
        <v>2026</v>
      </c>
      <c r="G237" s="80" t="n">
        <v>18</v>
      </c>
      <c r="H237" s="80" t="n">
        <v>30</v>
      </c>
      <c r="I237" s="80">
        <f>tblStudents[[#This Row],[Internal Marks]]+tblStudents[[#This Row],[External Marks]]</f>
        <v>48</v>
      </c>
      <c r="J237" s="80" t="str">
        <f>IF(AND(tblStudents[[#This Row],[Total Marks]]&gt;=p_PassTotal,tblStudents[[#This Row],[External Marks]]&gt;=p_PassExt),"Pass","Fail")</f>
        <v>Pass</v>
      </c>
      <c r="K237" s="80" t="str">
        <f>IF(tblStudents[[#This Row],[Result]]="Fail","F",INDEX(Lists!$J$4:$J$11,MATCH(tblStudents[[#This Row],[Total Marks]],Lists!$I$4:$I$11,1)))</f>
        <v>C</v>
      </c>
      <c r="L237" s="81">
        <f>IF(tblStudents[[#This Row],[Result]]="Pass",ROUND(MIN(10,tblStudents[[#This Row],[Total Marks]]/p_SgpaDiv),2),0)</f>
        <v>5.05</v>
      </c>
      <c r="M237" s="82">
        <f>IF(COUNTIFS(tblStudents[[#This Row],[Branch]],cSt_B,tblStudents[[#This Row],[Semester]],cSt_S,tblStudents[[#This Row],[Year]],cSt_Y)=1,tblStudents[[#This Row],[Total Marks]]+ROW()/1000000,"")</f>
        <v>48.000237</v>
      </c>
    </row>
    <row r="238">
      <c r="A238" s="79" t="inlineStr">
        <is>
          <t>STU1234</t>
        </is>
      </c>
      <c r="B238" s="79" t="inlineStr">
        <is>
          <t>Devansh Jain</t>
        </is>
      </c>
      <c r="C238" s="80" t="inlineStr">
        <is>
          <t>M</t>
        </is>
      </c>
      <c r="D238" s="80" t="inlineStr">
        <is>
          <t>ECE</t>
        </is>
      </c>
      <c r="E238" s="80" t="n">
        <v>5</v>
      </c>
      <c r="F238" s="80" t="n">
        <v>2024</v>
      </c>
      <c r="G238" s="80" t="n">
        <v>32</v>
      </c>
      <c r="H238" s="80" t="n">
        <v>58</v>
      </c>
      <c r="I238" s="80">
        <f>tblStudents[[#This Row],[Internal Marks]]+tblStudents[[#This Row],[External Marks]]</f>
        <v>90</v>
      </c>
      <c r="J238" s="80" t="str">
        <f>IF(AND(tblStudents[[#This Row],[Total Marks]]&gt;=p_PassTotal,tblStudents[[#This Row],[External Marks]]&gt;=p_PassExt),"Pass","Fail")</f>
        <v>Pass</v>
      </c>
      <c r="K238" s="80" t="str">
        <f>IF(tblStudents[[#This Row],[Result]]="Fail","F",INDEX(Lists!$J$4:$J$11,MATCH(tblStudents[[#This Row],[Total Marks]],Lists!$I$4:$I$11,1)))</f>
        <v>O</v>
      </c>
      <c r="L238" s="81">
        <f>IF(tblStudents[[#This Row],[Result]]="Pass",ROUND(MIN(10,tblStudents[[#This Row],[Total Marks]]/p_SgpaDiv),2),0)</f>
        <v>9.47</v>
      </c>
      <c r="M238" s="82">
        <f>IF(COUNTIFS(tblStudents[[#This Row],[Branch]],cSt_B,tblStudents[[#This Row],[Semester]],cSt_S,tblStudents[[#This Row],[Year]],cSt_Y)=1,tblStudents[[#This Row],[Total Marks]]+ROW()/1000000,"")</f>
        <v>90.000238</v>
      </c>
    </row>
    <row r="239">
      <c r="A239" s="79" t="inlineStr">
        <is>
          <t>STU1235</t>
        </is>
      </c>
      <c r="B239" s="79" t="inlineStr">
        <is>
          <t>Shreya Kumar</t>
        </is>
      </c>
      <c r="C239" s="80" t="inlineStr">
        <is>
          <t>F</t>
        </is>
      </c>
      <c r="D239" s="80" t="inlineStr">
        <is>
          <t>ECE</t>
        </is>
      </c>
      <c r="E239" s="80" t="n">
        <v>6</v>
      </c>
      <c r="F239" s="80" t="n">
        <v>2026</v>
      </c>
      <c r="G239" s="80" t="n">
        <v>25</v>
      </c>
      <c r="H239" s="80" t="n">
        <v>21</v>
      </c>
      <c r="I239" s="80">
        <f>tblStudents[[#This Row],[Internal Marks]]+tblStudents[[#This Row],[External Marks]]</f>
        <v>46</v>
      </c>
      <c r="J239" s="80" t="str">
        <f>IF(AND(tblStudents[[#This Row],[Total Marks]]&gt;=p_PassTotal,tblStudents[[#This Row],[External Marks]]&gt;=p_PassExt),"Pass","Fail")</f>
        <v>Fail</v>
      </c>
      <c r="K239" s="80" t="str">
        <f>IF(tblStudents[[#This Row],[Result]]="Fail","F",INDEX(Lists!$J$4:$J$11,MATCH(tblStudents[[#This Row],[Total Marks]],Lists!$I$4:$I$11,1)))</f>
        <v>F</v>
      </c>
      <c r="L239" s="81">
        <f>IF(tblStudents[[#This Row],[Result]]="Pass",ROUND(MIN(10,tblStudents[[#This Row],[Total Marks]]/p_SgpaDiv),2),0)</f>
        <v>0</v>
      </c>
      <c r="M239" s="82">
        <f>IF(COUNTIFS(tblStudents[[#This Row],[Branch]],cSt_B,tblStudents[[#This Row],[Semester]],cSt_S,tblStudents[[#This Row],[Year]],cSt_Y)=1,tblStudents[[#This Row],[Total Marks]]+ROW()/1000000,"")</f>
        <v>46.000239</v>
      </c>
    </row>
    <row r="240">
      <c r="A240" s="79" t="inlineStr">
        <is>
          <t>STU1236</t>
        </is>
      </c>
      <c r="B240" s="79" t="inlineStr">
        <is>
          <t>Diya Bhatt</t>
        </is>
      </c>
      <c r="C240" s="80" t="inlineStr">
        <is>
          <t>F</t>
        </is>
      </c>
      <c r="D240" s="80" t="inlineStr">
        <is>
          <t>ME</t>
        </is>
      </c>
      <c r="E240" s="80" t="n">
        <v>2</v>
      </c>
      <c r="F240" s="80" t="n">
        <v>2025</v>
      </c>
      <c r="G240" s="80" t="n">
        <v>30</v>
      </c>
      <c r="H240" s="80" t="n">
        <v>54</v>
      </c>
      <c r="I240" s="80">
        <f>tblStudents[[#This Row],[Internal Marks]]+tblStudents[[#This Row],[External Marks]]</f>
        <v>84</v>
      </c>
      <c r="J240" s="80" t="str">
        <f>IF(AND(tblStudents[[#This Row],[Total Marks]]&gt;=p_PassTotal,tblStudents[[#This Row],[External Marks]]&gt;=p_PassExt),"Pass","Fail")</f>
        <v>Pass</v>
      </c>
      <c r="K240" s="80" t="str">
        <f>IF(tblStudents[[#This Row],[Result]]="Fail","F",INDEX(Lists!$J$4:$J$11,MATCH(tblStudents[[#This Row],[Total Marks]],Lists!$I$4:$I$11,1)))</f>
        <v>A+</v>
      </c>
      <c r="L240" s="81">
        <f>IF(tblStudents[[#This Row],[Result]]="Pass",ROUND(MIN(10,tblStudents[[#This Row],[Total Marks]]/p_SgpaDiv),2),0)</f>
        <v>8.84</v>
      </c>
      <c r="M240" s="82">
        <f>IF(COUNTIFS(tblStudents[[#This Row],[Branch]],cSt_B,tblStudents[[#This Row],[Semester]],cSt_S,tblStudents[[#This Row],[Year]],cSt_Y)=1,tblStudents[[#This Row],[Total Marks]]+ROW()/1000000,"")</f>
        <v>84.00024</v>
      </c>
    </row>
    <row r="241">
      <c r="A241" s="79" t="inlineStr">
        <is>
          <t>STU1237</t>
        </is>
      </c>
      <c r="B241" s="79" t="inlineStr">
        <is>
          <t>Vikram Dubey</t>
        </is>
      </c>
      <c r="C241" s="80" t="inlineStr">
        <is>
          <t>M</t>
        </is>
      </c>
      <c r="D241" s="80" t="inlineStr">
        <is>
          <t>ME</t>
        </is>
      </c>
      <c r="E241" s="80" t="n">
        <v>1</v>
      </c>
      <c r="F241" s="80" t="n">
        <v>2026</v>
      </c>
      <c r="G241" s="80" t="n">
        <v>22</v>
      </c>
      <c r="H241" s="80" t="n">
        <v>29</v>
      </c>
      <c r="I241" s="80">
        <f>tblStudents[[#This Row],[Internal Marks]]+tblStudents[[#This Row],[External Marks]]</f>
        <v>51</v>
      </c>
      <c r="J241" s="80" t="str">
        <f>IF(AND(tblStudents[[#This Row],[Total Marks]]&gt;=p_PassTotal,tblStudents[[#This Row],[External Marks]]&gt;=p_PassExt),"Pass","Fail")</f>
        <v>Pass</v>
      </c>
      <c r="K241" s="80" t="str">
        <f>IF(tblStudents[[#This Row],[Result]]="Fail","F",INDEX(Lists!$J$4:$J$11,MATCH(tblStudents[[#This Row],[Total Marks]],Lists!$I$4:$I$11,1)))</f>
        <v>B</v>
      </c>
      <c r="L241" s="81">
        <f>IF(tblStudents[[#This Row],[Result]]="Pass",ROUND(MIN(10,tblStudents[[#This Row],[Total Marks]]/p_SgpaDiv),2),0)</f>
        <v>5.37</v>
      </c>
      <c r="M241" s="82">
        <f>IF(COUNTIFS(tblStudents[[#This Row],[Branch]],cSt_B,tblStudents[[#This Row],[Semester]],cSt_S,tblStudents[[#This Row],[Year]],cSt_Y)=1,tblStudents[[#This Row],[Total Marks]]+ROW()/1000000,"")</f>
        <v>51.000241</v>
      </c>
    </row>
    <row r="242">
      <c r="A242" s="79" t="inlineStr">
        <is>
          <t>STU1238</t>
        </is>
      </c>
      <c r="B242" s="79" t="inlineStr">
        <is>
          <t>Vishal Singh</t>
        </is>
      </c>
      <c r="C242" s="80" t="inlineStr">
        <is>
          <t>M</t>
        </is>
      </c>
      <c r="D242" s="80" t="inlineStr">
        <is>
          <t>CSE</t>
        </is>
      </c>
      <c r="E242" s="80" t="n">
        <v>7</v>
      </c>
      <c r="F242" s="80" t="n">
        <v>2026</v>
      </c>
      <c r="G242" s="80" t="n">
        <v>32</v>
      </c>
      <c r="H242" s="80" t="n">
        <v>46</v>
      </c>
      <c r="I242" s="80">
        <f>tblStudents[[#This Row],[Internal Marks]]+tblStudents[[#This Row],[External Marks]]</f>
        <v>78</v>
      </c>
      <c r="J242" s="80" t="str">
        <f>IF(AND(tblStudents[[#This Row],[Total Marks]]&gt;=p_PassTotal,tblStudents[[#This Row],[External Marks]]&gt;=p_PassExt),"Pass","Fail")</f>
        <v>Pass</v>
      </c>
      <c r="K242" s="80" t="str">
        <f>IF(tblStudents[[#This Row],[Result]]="Fail","F",INDEX(Lists!$J$4:$J$11,MATCH(tblStudents[[#This Row],[Total Marks]],Lists!$I$4:$I$11,1)))</f>
        <v>A</v>
      </c>
      <c r="L242" s="81">
        <f>IF(tblStudents[[#This Row],[Result]]="Pass",ROUND(MIN(10,tblStudents[[#This Row],[Total Marks]]/p_SgpaDiv),2),0)</f>
        <v>8.21</v>
      </c>
      <c r="M242" s="82">
        <f>IF(COUNTIFS(tblStudents[[#This Row],[Branch]],cSt_B,tblStudents[[#This Row],[Semester]],cSt_S,tblStudents[[#This Row],[Year]],cSt_Y)=1,tblStudents[[#This Row],[Total Marks]]+ROW()/1000000,"")</f>
        <v>78.000242</v>
      </c>
    </row>
    <row r="243">
      <c r="A243" s="79" t="inlineStr">
        <is>
          <t>STU1239</t>
        </is>
      </c>
      <c r="B243" s="79" t="inlineStr">
        <is>
          <t>Srishti Chatterjee</t>
        </is>
      </c>
      <c r="C243" s="80" t="inlineStr">
        <is>
          <t>F</t>
        </is>
      </c>
      <c r="D243" s="80" t="inlineStr">
        <is>
          <t>CSE</t>
        </is>
      </c>
      <c r="E243" s="80" t="n">
        <v>7</v>
      </c>
      <c r="F243" s="80" t="n">
        <v>2023</v>
      </c>
      <c r="G243" s="80" t="n">
        <v>25</v>
      </c>
      <c r="H243" s="80" t="n">
        <v>33</v>
      </c>
      <c r="I243" s="80">
        <f>tblStudents[[#This Row],[Internal Marks]]+tblStudents[[#This Row],[External Marks]]</f>
        <v>58</v>
      </c>
      <c r="J243" s="80" t="str">
        <f>IF(AND(tblStudents[[#This Row],[Total Marks]]&gt;=p_PassTotal,tblStudents[[#This Row],[External Marks]]&gt;=p_PassExt),"Pass","Fail")</f>
        <v>Pass</v>
      </c>
      <c r="K243" s="80" t="str">
        <f>IF(tblStudents[[#This Row],[Result]]="Fail","F",INDEX(Lists!$J$4:$J$11,MATCH(tblStudents[[#This Row],[Total Marks]],Lists!$I$4:$I$11,1)))</f>
        <v>B</v>
      </c>
      <c r="L243" s="81">
        <f>IF(tblStudents[[#This Row],[Result]]="Pass",ROUND(MIN(10,tblStudents[[#This Row],[Total Marks]]/p_SgpaDiv),2),0)</f>
        <v>6.11</v>
      </c>
      <c r="M243" s="82">
        <f>IF(COUNTIFS(tblStudents[[#This Row],[Branch]],cSt_B,tblStudents[[#This Row],[Semester]],cSt_S,tblStudents[[#This Row],[Year]],cSt_Y)=1,tblStudents[[#This Row],[Total Marks]]+ROW()/1000000,"")</f>
        <v>58.000243</v>
      </c>
    </row>
    <row r="244">
      <c r="A244" s="79" t="inlineStr">
        <is>
          <t>STU1240</t>
        </is>
      </c>
      <c r="B244" s="79" t="inlineStr">
        <is>
          <t>Nikhil Nair</t>
        </is>
      </c>
      <c r="C244" s="80" t="inlineStr">
        <is>
          <t>M</t>
        </is>
      </c>
      <c r="D244" s="80" t="inlineStr">
        <is>
          <t>ECE</t>
        </is>
      </c>
      <c r="E244" s="80" t="n">
        <v>7</v>
      </c>
      <c r="F244" s="80" t="n">
        <v>2026</v>
      </c>
      <c r="G244" s="80" t="n">
        <v>31</v>
      </c>
      <c r="H244" s="80" t="n">
        <v>44</v>
      </c>
      <c r="I244" s="80">
        <f>tblStudents[[#This Row],[Internal Marks]]+tblStudents[[#This Row],[External Marks]]</f>
        <v>75</v>
      </c>
      <c r="J244" s="80" t="str">
        <f>IF(AND(tblStudents[[#This Row],[Total Marks]]&gt;=p_PassTotal,tblStudents[[#This Row],[External Marks]]&gt;=p_PassExt),"Pass","Fail")</f>
        <v>Pass</v>
      </c>
      <c r="K244" s="80" t="str">
        <f>IF(tblStudents[[#This Row],[Result]]="Fail","F",INDEX(Lists!$J$4:$J$11,MATCH(tblStudents[[#This Row],[Total Marks]],Lists!$I$4:$I$11,1)))</f>
        <v>A</v>
      </c>
      <c r="L244" s="81">
        <f>IF(tblStudents[[#This Row],[Result]]="Pass",ROUND(MIN(10,tblStudents[[#This Row],[Total Marks]]/p_SgpaDiv),2),0)</f>
        <v>7.89</v>
      </c>
      <c r="M244" s="82">
        <f>IF(COUNTIFS(tblStudents[[#This Row],[Branch]],cSt_B,tblStudents[[#This Row],[Semester]],cSt_S,tblStudents[[#This Row],[Year]],cSt_Y)=1,tblStudents[[#This Row],[Total Marks]]+ROW()/1000000,"")</f>
        <v>75.000244</v>
      </c>
    </row>
  </sheetData>
  <mergeCells count="1">
    <mergeCell ref="A1:M1"/>
  </mergeCells>
  <conditionalFormatting sqref="J5:J2000">
    <cfRule type="cellIs" priority="1" operator="equal" dxfId="8">
      <formula>"Pass"</formula>
    </cfRule>
    <cfRule type="cellIs" priority="2" operator="equal" dxfId="4">
      <formula>"Fail"</formula>
    </cfRule>
  </conditionalFormatting>
  <conditionalFormatting sqref="I5:I2000">
    <cfRule type="colorScale" priority="3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dataValidations count="3">
    <dataValidation sqref="D5:D2000" showDropDown="0" showInputMessage="0" showErrorMessage="1" allowBlank="1" error="Pick a value from the list" type="list">
      <formula1>=Lists!$A$4:$A$8</formula1>
    </dataValidation>
    <dataValidation sqref="E5:E2000" showDropDown="0" showInputMessage="0" showErrorMessage="1" allowBlank="1" error="Pick a value from the list" type="list">
      <formula1>=Lists!$E$5:$E$12</formula1>
    </dataValidation>
    <dataValidation sqref="F5:F2000" showDropDown="0" showInputMessage="0" showErrorMessage="1" allowBlank="1" error="Pick a value from the list" type="list">
      <formula1>=Lists!$G$5:$G$8</formula1>
    </dataValidation>
  </dataValidations>
  <hyperlinks>
    <hyperlink ref="A2" location="'Overview'!A1" display="« Back to Overview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F7B7B"/>
    <outlinePr summaryBelow="1" summaryRight="1"/>
    <pageSetUpPr/>
  </sheetPr>
  <dimension ref="A1:K244"/>
  <sheetViews>
    <sheetView showGridLines="1" tabSelected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0" customWidth="1" min="4" max="4"/>
    <col width="8" customWidth="1" min="5" max="5"/>
    <col width="10" customWidth="1" min="6" max="6"/>
    <col width="11" customWidth="1" min="7" max="7"/>
    <col width="12" customWidth="1" min="8" max="8"/>
    <col width="13" customWidth="1" min="9" max="9"/>
    <col width="11" customWidth="1" min="10" max="10"/>
    <col width="12" customWidth="1" min="11" max="11"/>
  </cols>
  <sheetData>
    <row r="1" ht="30" customHeight="1">
      <c r="A1" s="74" t="inlineStr">
        <is>
          <t>Attendance Data  |  tblAttendance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75" t="inlineStr">
        <is>
          <t>« Back to Overview</t>
        </is>
      </c>
    </row>
    <row r="3">
      <c r="A3" s="76" t="inlineStr">
        <is>
          <t>Navy header = input column (type or paste data)   |   Teal header = formula column (fills automatically, do not overwrite)</t>
        </is>
      </c>
    </row>
    <row r="4" ht="32" customHeight="1">
      <c r="A4" s="77" t="inlineStr">
        <is>
          <t>StudentID</t>
        </is>
      </c>
      <c r="B4" s="78" t="inlineStr">
        <is>
          <t>Student Name</t>
        </is>
      </c>
      <c r="C4" s="78" t="inlineStr">
        <is>
          <t>Branch</t>
        </is>
      </c>
      <c r="D4" s="78" t="inlineStr">
        <is>
          <t>Semester</t>
        </is>
      </c>
      <c r="E4" s="78" t="inlineStr">
        <is>
          <t>Year</t>
        </is>
      </c>
      <c r="F4" s="77" t="inlineStr">
        <is>
          <t>Classes Held</t>
        </is>
      </c>
      <c r="G4" s="77" t="inlineStr">
        <is>
          <t>Classes Attended</t>
        </is>
      </c>
      <c r="H4" s="78" t="inlineStr">
        <is>
          <t>Attendance %</t>
        </is>
      </c>
      <c r="I4" s="78" t="inlineStr">
        <is>
          <t>Status</t>
        </is>
      </c>
      <c r="J4" s="78" t="inlineStr">
        <is>
          <t>Total Marks</t>
        </is>
      </c>
      <c r="K4" s="78" t="inlineStr">
        <is>
          <t>Rank Key</t>
        </is>
      </c>
    </row>
    <row r="5">
      <c r="A5" s="79" t="inlineStr">
        <is>
          <t>STU1001</t>
        </is>
      </c>
      <c r="B5" s="79" t="str">
        <f>IFERROR(INDEX(tblStudents[Student Name],MATCH(tblAttendance[[#This Row],[StudentID]],tblStudents[StudentID],0)),"Unknown")</f>
        <v>Shubham Chatterjee</v>
      </c>
      <c r="C5" s="80" t="str">
        <f>IFERROR(INDEX(tblStudents[Branch],MATCH(tblAttendance[[#This Row],[StudentID]],tblStudents[StudentID],0)),"Unknown")</f>
        <v>IT</v>
      </c>
      <c r="D5" s="80">
        <f>IFERROR(INDEX(tblStudents[Semester],MATCH(tblAttendance[[#This Row],[StudentID]],tblStudents[StudentID],0)),"Unknown")</f>
        <v>2</v>
      </c>
      <c r="E5" s="80">
        <f>IFERROR(INDEX(tblStudents[Year],MATCH(tblAttendance[[#This Row],[StudentID]],tblStudents[StudentID],0)),"Unknown")</f>
        <v>2024</v>
      </c>
      <c r="F5" s="80" t="n">
        <v>179</v>
      </c>
      <c r="G5" s="80" t="n">
        <v>163</v>
      </c>
      <c r="H5" s="83">
        <f>IFERROR(tblAttendance[[#This Row],[Classes Attended]]/tblAttendance[[#This Row],[Classes Held]],0)</f>
        <v>0.910614525139665</v>
      </c>
      <c r="I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5" s="80">
        <f>IFERROR(INDEX(tblStudents[Total Marks],MATCH(tblAttendance[[#This Row],[StudentID]],tblStudents[StudentID],0)),"Unknown")</f>
        <v>73</v>
      </c>
      <c r="K5" s="82">
        <f>IF(COUNTIFS(tblAttendance[[#This Row],[Branch]],cAt_B,tblAttendance[[#This Row],[Semester]],cAt_S,tblAttendance[[#This Row],[Year]],cAt_Y)=1,tblAttendance[[#This Row],[Attendance %]]+ROW()/1000000000,"")</f>
        <v>0.910614530139665</v>
      </c>
    </row>
    <row r="6">
      <c r="A6" s="79" t="inlineStr">
        <is>
          <t>STU1002</t>
        </is>
      </c>
      <c r="B6" s="79" t="str">
        <f>IFERROR(INDEX(tblStudents[Student Name],MATCH(tblAttendance[[#This Row],[StudentID]],tblStudents[StudentID],0)),"Unknown")</f>
        <v>Srishti Tyagi</v>
      </c>
      <c r="C6" s="80" t="str">
        <f>IFERROR(INDEX(tblStudents[Branch],MATCH(tblAttendance[[#This Row],[StudentID]],tblStudents[StudentID],0)),"Unknown")</f>
        <v>CSE</v>
      </c>
      <c r="D6" s="80">
        <f>IFERROR(INDEX(tblStudents[Semester],MATCH(tblAttendance[[#This Row],[StudentID]],tblStudents[StudentID],0)),"Unknown")</f>
        <v>2</v>
      </c>
      <c r="E6" s="80">
        <f>IFERROR(INDEX(tblStudents[Year],MATCH(tblAttendance[[#This Row],[StudentID]],tblStudents[StudentID],0)),"Unknown")</f>
        <v>2023</v>
      </c>
      <c r="F6" s="80" t="n">
        <v>167</v>
      </c>
      <c r="G6" s="80" t="n">
        <v>124</v>
      </c>
      <c r="H6" s="83">
        <f>IFERROR(tblAttendance[[#This Row],[Classes Attended]]/tblAttendance[[#This Row],[Classes Held]],0)</f>
        <v>0.74251497005988</v>
      </c>
      <c r="I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6" s="80">
        <f>IFERROR(INDEX(tblStudents[Total Marks],MATCH(tblAttendance[[#This Row],[StudentID]],tblStudents[StudentID],0)),"Unknown")</f>
        <v>52</v>
      </c>
      <c r="K6" s="82">
        <f>IF(COUNTIFS(tblAttendance[[#This Row],[Branch]],cAt_B,tblAttendance[[#This Row],[Semester]],cAt_S,tblAttendance[[#This Row],[Year]],cAt_Y)=1,tblAttendance[[#This Row],[Attendance %]]+ROW()/1000000000,"")</f>
        <v>0.74251497605988</v>
      </c>
    </row>
    <row r="7">
      <c r="A7" s="79" t="inlineStr">
        <is>
          <t>STU1003</t>
        </is>
      </c>
      <c r="B7" s="79" t="str">
        <f>IFERROR(INDEX(tblStudents[Student Name],MATCH(tblAttendance[[#This Row],[StudentID]],tblStudents[StudentID],0)),"Unknown")</f>
        <v>Pallavi Srivastava</v>
      </c>
      <c r="C7" s="80" t="str">
        <f>IFERROR(INDEX(tblStudents[Branch],MATCH(tblAttendance[[#This Row],[StudentID]],tblStudents[StudentID],0)),"Unknown")</f>
        <v>ECE</v>
      </c>
      <c r="D7" s="80">
        <f>IFERROR(INDEX(tblStudents[Semester],MATCH(tblAttendance[[#This Row],[StudentID]],tblStudents[StudentID],0)),"Unknown")</f>
        <v>6</v>
      </c>
      <c r="E7" s="80">
        <f>IFERROR(INDEX(tblStudents[Year],MATCH(tblAttendance[[#This Row],[StudentID]],tblStudents[StudentID],0)),"Unknown")</f>
        <v>2025</v>
      </c>
      <c r="F7" s="80" t="n">
        <v>181</v>
      </c>
      <c r="G7" s="80" t="n">
        <v>179</v>
      </c>
      <c r="H7" s="83">
        <f>IFERROR(tblAttendance[[#This Row],[Classes Attended]]/tblAttendance[[#This Row],[Classes Held]],0)</f>
        <v>0.988950276243094</v>
      </c>
      <c r="I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7" s="80">
        <f>IFERROR(INDEX(tblStudents[Total Marks],MATCH(tblAttendance[[#This Row],[StudentID]],tblStudents[StudentID],0)),"Unknown")</f>
        <v>69</v>
      </c>
      <c r="K7" s="82">
        <f>IF(COUNTIFS(tblAttendance[[#This Row],[Branch]],cAt_B,tblAttendance[[#This Row],[Semester]],cAt_S,tblAttendance[[#This Row],[Year]],cAt_Y)=1,tblAttendance[[#This Row],[Attendance %]]+ROW()/1000000000,"")</f>
        <v>0.988950283243094</v>
      </c>
    </row>
    <row r="8">
      <c r="A8" s="79" t="inlineStr">
        <is>
          <t>STU1004</t>
        </is>
      </c>
      <c r="B8" s="79" t="str">
        <f>IFERROR(INDEX(tblStudents[Student Name],MATCH(tblAttendance[[#This Row],[StudentID]],tblStudents[StudentID],0)),"Unknown")</f>
        <v>Komal Shah</v>
      </c>
      <c r="C8" s="80" t="str">
        <f>IFERROR(INDEX(tblStudents[Branch],MATCH(tblAttendance[[#This Row],[StudentID]],tblStudents[StudentID],0)),"Unknown")</f>
        <v>CSE</v>
      </c>
      <c r="D8" s="80">
        <f>IFERROR(INDEX(tblStudents[Semester],MATCH(tblAttendance[[#This Row],[StudentID]],tblStudents[StudentID],0)),"Unknown")</f>
        <v>5</v>
      </c>
      <c r="E8" s="80">
        <f>IFERROR(INDEX(tblStudents[Year],MATCH(tblAttendance[[#This Row],[StudentID]],tblStudents[StudentID],0)),"Unknown")</f>
        <v>2023</v>
      </c>
      <c r="F8" s="80" t="n">
        <v>180</v>
      </c>
      <c r="G8" s="80" t="n">
        <v>174</v>
      </c>
      <c r="H8" s="83">
        <f>IFERROR(tblAttendance[[#This Row],[Classes Attended]]/tblAttendance[[#This Row],[Classes Held]],0)</f>
        <v>0.966666666666667</v>
      </c>
      <c r="I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8" s="80">
        <f>IFERROR(INDEX(tblStudents[Total Marks],MATCH(tblAttendance[[#This Row],[StudentID]],tblStudents[StudentID],0)),"Unknown")</f>
        <v>69</v>
      </c>
      <c r="K8" s="82">
        <f>IF(COUNTIFS(tblAttendance[[#This Row],[Branch]],cAt_B,tblAttendance[[#This Row],[Semester]],cAt_S,tblAttendance[[#This Row],[Year]],cAt_Y)=1,tblAttendance[[#This Row],[Attendance %]]+ROW()/1000000000,"")</f>
        <v>0.966666674666667</v>
      </c>
    </row>
    <row r="9">
      <c r="A9" s="79" t="inlineStr">
        <is>
          <t>STU1005</t>
        </is>
      </c>
      <c r="B9" s="79" t="str">
        <f>IFERROR(INDEX(tblStudents[Student Name],MATCH(tblAttendance[[#This Row],[StudentID]],tblStudents[StudentID],0)),"Unknown")</f>
        <v>Saurabh Dubey</v>
      </c>
      <c r="C9" s="80" t="str">
        <f>IFERROR(INDEX(tblStudents[Branch],MATCH(tblAttendance[[#This Row],[StudentID]],tblStudents[StudentID],0)),"Unknown")</f>
        <v>ME</v>
      </c>
      <c r="D9" s="80">
        <f>IFERROR(INDEX(tblStudents[Semester],MATCH(tblAttendance[[#This Row],[StudentID]],tblStudents[StudentID],0)),"Unknown")</f>
        <v>2</v>
      </c>
      <c r="E9" s="80">
        <f>IFERROR(INDEX(tblStudents[Year],MATCH(tblAttendance[[#This Row],[StudentID]],tblStudents[StudentID],0)),"Unknown")</f>
        <v>2026</v>
      </c>
      <c r="F9" s="80" t="n">
        <v>162</v>
      </c>
      <c r="G9" s="80" t="n">
        <v>113</v>
      </c>
      <c r="H9" s="83">
        <f>IFERROR(tblAttendance[[#This Row],[Classes Attended]]/tblAttendance[[#This Row],[Classes Held]],0)</f>
        <v>0.697530864197531</v>
      </c>
      <c r="I9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9" s="80">
        <f>IFERROR(INDEX(tblStudents[Total Marks],MATCH(tblAttendance[[#This Row],[StudentID]],tblStudents[StudentID],0)),"Unknown")</f>
        <v>41</v>
      </c>
      <c r="K9" s="82">
        <f>IF(COUNTIFS(tblAttendance[[#This Row],[Branch]],cAt_B,tblAttendance[[#This Row],[Semester]],cAt_S,tblAttendance[[#This Row],[Year]],cAt_Y)=1,tblAttendance[[#This Row],[Attendance %]]+ROW()/1000000000,"")</f>
        <v>0.697530873197531</v>
      </c>
    </row>
    <row r="10">
      <c r="A10" s="79" t="inlineStr">
        <is>
          <t>STU1006</t>
        </is>
      </c>
      <c r="B10" s="79" t="str">
        <f>IFERROR(INDEX(tblStudents[Student Name],MATCH(tblAttendance[[#This Row],[StudentID]],tblStudents[StudentID],0)),"Unknown")</f>
        <v>Garima Thakur</v>
      </c>
      <c r="C10" s="80" t="str">
        <f>IFERROR(INDEX(tblStudents[Branch],MATCH(tblAttendance[[#This Row],[StudentID]],tblStudents[StudentID],0)),"Unknown")</f>
        <v>IT</v>
      </c>
      <c r="D10" s="80">
        <f>IFERROR(INDEX(tblStudents[Semester],MATCH(tblAttendance[[#This Row],[StudentID]],tblStudents[StudentID],0)),"Unknown")</f>
        <v>8</v>
      </c>
      <c r="E10" s="80">
        <f>IFERROR(INDEX(tblStudents[Year],MATCH(tblAttendance[[#This Row],[StudentID]],tblStudents[StudentID],0)),"Unknown")</f>
        <v>2023</v>
      </c>
      <c r="F10" s="80" t="n">
        <v>179</v>
      </c>
      <c r="G10" s="80" t="n">
        <v>131</v>
      </c>
      <c r="H10" s="83">
        <f>IFERROR(tblAttendance[[#This Row],[Classes Attended]]/tblAttendance[[#This Row],[Classes Held]],0)</f>
        <v>0.731843575418994</v>
      </c>
      <c r="I1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0" s="80">
        <f>IFERROR(INDEX(tblStudents[Total Marks],MATCH(tblAttendance[[#This Row],[StudentID]],tblStudents[StudentID],0)),"Unknown")</f>
        <v>53</v>
      </c>
      <c r="K10" s="82">
        <f>IF(COUNTIFS(tblAttendance[[#This Row],[Branch]],cAt_B,tblAttendance[[#This Row],[Semester]],cAt_S,tblAttendance[[#This Row],[Year]],cAt_Y)=1,tblAttendance[[#This Row],[Attendance %]]+ROW()/1000000000,"")</f>
        <v>0.731843585418994</v>
      </c>
    </row>
    <row r="11">
      <c r="A11" s="79" t="inlineStr">
        <is>
          <t>STU1007</t>
        </is>
      </c>
      <c r="B11" s="79" t="str">
        <f>IFERROR(INDEX(tblStudents[Student Name],MATCH(tblAttendance[[#This Row],[StudentID]],tblStudents[StudentID],0)),"Unknown")</f>
        <v>Parth Patel</v>
      </c>
      <c r="C11" s="80" t="str">
        <f>IFERROR(INDEX(tblStudents[Branch],MATCH(tblAttendance[[#This Row],[StudentID]],tblStudents[StudentID],0)),"Unknown")</f>
        <v>ECE</v>
      </c>
      <c r="D11" s="80">
        <f>IFERROR(INDEX(tblStudents[Semester],MATCH(tblAttendance[[#This Row],[StudentID]],tblStudents[StudentID],0)),"Unknown")</f>
        <v>8</v>
      </c>
      <c r="E11" s="80">
        <f>IFERROR(INDEX(tblStudents[Year],MATCH(tblAttendance[[#This Row],[StudentID]],tblStudents[StudentID],0)),"Unknown")</f>
        <v>2024</v>
      </c>
      <c r="F11" s="80" t="n">
        <v>164</v>
      </c>
      <c r="G11" s="80" t="n">
        <v>133</v>
      </c>
      <c r="H11" s="83">
        <f>IFERROR(tblAttendance[[#This Row],[Classes Attended]]/tblAttendance[[#This Row],[Classes Held]],0)</f>
        <v>0.810975609756098</v>
      </c>
      <c r="I1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" s="80">
        <f>IFERROR(INDEX(tblStudents[Total Marks],MATCH(tblAttendance[[#This Row],[StudentID]],tblStudents[StudentID],0)),"Unknown")</f>
        <v>68</v>
      </c>
      <c r="K11" s="82">
        <f>IF(COUNTIFS(tblAttendance[[#This Row],[Branch]],cAt_B,tblAttendance[[#This Row],[Semester]],cAt_S,tblAttendance[[#This Row],[Year]],cAt_Y)=1,tblAttendance[[#This Row],[Attendance %]]+ROW()/1000000000,"")</f>
        <v>0.810975620756098</v>
      </c>
    </row>
    <row r="12">
      <c r="A12" s="79" t="inlineStr">
        <is>
          <t>STU1008</t>
        </is>
      </c>
      <c r="B12" s="79" t="str">
        <f>IFERROR(INDEX(tblStudents[Student Name],MATCH(tblAttendance[[#This Row],[StudentID]],tblStudents[StudentID],0)),"Unknown")</f>
        <v>Tanya Iyer</v>
      </c>
      <c r="C12" s="80" t="str">
        <f>IFERROR(INDEX(tblStudents[Branch],MATCH(tblAttendance[[#This Row],[StudentID]],tblStudents[StudentID],0)),"Unknown")</f>
        <v>CE</v>
      </c>
      <c r="D12" s="80">
        <f>IFERROR(INDEX(tblStudents[Semester],MATCH(tblAttendance[[#This Row],[StudentID]],tblStudents[StudentID],0)),"Unknown")</f>
        <v>5</v>
      </c>
      <c r="E12" s="80">
        <f>IFERROR(INDEX(tblStudents[Year],MATCH(tblAttendance[[#This Row],[StudentID]],tblStudents[StudentID],0)),"Unknown")</f>
        <v>2026</v>
      </c>
      <c r="F12" s="80" t="n">
        <v>177</v>
      </c>
      <c r="G12" s="80" t="n">
        <v>148</v>
      </c>
      <c r="H12" s="83">
        <f>IFERROR(tblAttendance[[#This Row],[Classes Attended]]/tblAttendance[[#This Row],[Classes Held]],0)</f>
        <v>0.836158192090395</v>
      </c>
      <c r="I1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2" s="80">
        <f>IFERROR(INDEX(tblStudents[Total Marks],MATCH(tblAttendance[[#This Row],[StudentID]],tblStudents[StudentID],0)),"Unknown")</f>
        <v>43</v>
      </c>
      <c r="K12" s="82">
        <f>IF(COUNTIFS(tblAttendance[[#This Row],[Branch]],cAt_B,tblAttendance[[#This Row],[Semester]],cAt_S,tblAttendance[[#This Row],[Year]],cAt_Y)=1,tblAttendance[[#This Row],[Attendance %]]+ROW()/1000000000,"")</f>
        <v>0.836158204090395</v>
      </c>
    </row>
    <row r="13">
      <c r="A13" s="79" t="inlineStr">
        <is>
          <t>STU1009</t>
        </is>
      </c>
      <c r="B13" s="79" t="str">
        <f>IFERROR(INDEX(tblStudents[Student Name],MATCH(tblAttendance[[#This Row],[StudentID]],tblStudents[StudentID],0)),"Unknown")</f>
        <v>Ananya Gupta</v>
      </c>
      <c r="C13" s="80" t="str">
        <f>IFERROR(INDEX(tblStudents[Branch],MATCH(tblAttendance[[#This Row],[StudentID]],tblStudents[StudentID],0)),"Unknown")</f>
        <v>CSE</v>
      </c>
      <c r="D13" s="80">
        <f>IFERROR(INDEX(tblStudents[Semester],MATCH(tblAttendance[[#This Row],[StudentID]],tblStudents[StudentID],0)),"Unknown")</f>
        <v>8</v>
      </c>
      <c r="E13" s="80">
        <f>IFERROR(INDEX(tblStudents[Year],MATCH(tblAttendance[[#This Row],[StudentID]],tblStudents[StudentID],0)),"Unknown")</f>
        <v>2026</v>
      </c>
      <c r="F13" s="80" t="n">
        <v>162</v>
      </c>
      <c r="G13" s="80" t="n">
        <v>144</v>
      </c>
      <c r="H13" s="83">
        <f>IFERROR(tblAttendance[[#This Row],[Classes Attended]]/tblAttendance[[#This Row],[Classes Held]],0)</f>
        <v>0.888888888888889</v>
      </c>
      <c r="I1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" s="80">
        <f>IFERROR(INDEX(tblStudents[Total Marks],MATCH(tblAttendance[[#This Row],[StudentID]],tblStudents[StudentID],0)),"Unknown")</f>
        <v>66</v>
      </c>
      <c r="K13" s="82">
        <f>IF(COUNTIFS(tblAttendance[[#This Row],[Branch]],cAt_B,tblAttendance[[#This Row],[Semester]],cAt_S,tblAttendance[[#This Row],[Year]],cAt_Y)=1,tblAttendance[[#This Row],[Attendance %]]+ROW()/1000000000,"")</f>
        <v>0.888888901888889</v>
      </c>
    </row>
    <row r="14">
      <c r="A14" s="79" t="inlineStr">
        <is>
          <t>STU1010</t>
        </is>
      </c>
      <c r="B14" s="79" t="str">
        <f>IFERROR(INDEX(tblStudents[Student Name],MATCH(tblAttendance[[#This Row],[StudentID]],tblStudents[StudentID],0)),"Unknown")</f>
        <v>Ritika Siddiqui</v>
      </c>
      <c r="C14" s="80" t="str">
        <f>IFERROR(INDEX(tblStudents[Branch],MATCH(tblAttendance[[#This Row],[StudentID]],tblStudents[StudentID],0)),"Unknown")</f>
        <v>CE</v>
      </c>
      <c r="D14" s="80">
        <f>IFERROR(INDEX(tblStudents[Semester],MATCH(tblAttendance[[#This Row],[StudentID]],tblStudents[StudentID],0)),"Unknown")</f>
        <v>1</v>
      </c>
      <c r="E14" s="80">
        <f>IFERROR(INDEX(tblStudents[Year],MATCH(tblAttendance[[#This Row],[StudentID]],tblStudents[StudentID],0)),"Unknown")</f>
        <v>2025</v>
      </c>
      <c r="F14" s="80" t="n">
        <v>150</v>
      </c>
      <c r="G14" s="80" t="n">
        <v>118</v>
      </c>
      <c r="H14" s="83">
        <f>IFERROR(tblAttendance[[#This Row],[Classes Attended]]/tblAttendance[[#This Row],[Classes Held]],0)</f>
        <v>0.786666666666667</v>
      </c>
      <c r="I1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4" s="80">
        <f>IFERROR(INDEX(tblStudents[Total Marks],MATCH(tblAttendance[[#This Row],[StudentID]],tblStudents[StudentID],0)),"Unknown")</f>
        <v>62</v>
      </c>
      <c r="K14" s="82">
        <f>IF(COUNTIFS(tblAttendance[[#This Row],[Branch]],cAt_B,tblAttendance[[#This Row],[Semester]],cAt_S,tblAttendance[[#This Row],[Year]],cAt_Y)=1,tblAttendance[[#This Row],[Attendance %]]+ROW()/1000000000,"")</f>
        <v>0.786666680666667</v>
      </c>
    </row>
    <row r="15">
      <c r="A15" s="79" t="inlineStr">
        <is>
          <t>STU1011</t>
        </is>
      </c>
      <c r="B15" s="79" t="str">
        <f>IFERROR(INDEX(tblStudents[Student Name],MATCH(tblAttendance[[#This Row],[StudentID]],tblStudents[StudentID],0)),"Unknown")</f>
        <v>Srishti Chauhan</v>
      </c>
      <c r="C15" s="80" t="str">
        <f>IFERROR(INDEX(tblStudents[Branch],MATCH(tblAttendance[[#This Row],[StudentID]],tblStudents[StudentID],0)),"Unknown")</f>
        <v>IT</v>
      </c>
      <c r="D15" s="80">
        <f>IFERROR(INDEX(tblStudents[Semester],MATCH(tblAttendance[[#This Row],[StudentID]],tblStudents[StudentID],0)),"Unknown")</f>
        <v>8</v>
      </c>
      <c r="E15" s="80">
        <f>IFERROR(INDEX(tblStudents[Year],MATCH(tblAttendance[[#This Row],[StudentID]],tblStudents[StudentID],0)),"Unknown")</f>
        <v>2023</v>
      </c>
      <c r="F15" s="80" t="n">
        <v>166</v>
      </c>
      <c r="G15" s="80" t="n">
        <v>144</v>
      </c>
      <c r="H15" s="83">
        <f>IFERROR(tblAttendance[[#This Row],[Classes Attended]]/tblAttendance[[#This Row],[Classes Held]],0)</f>
        <v>0.867469879518072</v>
      </c>
      <c r="I1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5" s="80">
        <f>IFERROR(INDEX(tblStudents[Total Marks],MATCH(tblAttendance[[#This Row],[StudentID]],tblStudents[StudentID],0)),"Unknown")</f>
        <v>47</v>
      </c>
      <c r="K15" s="82">
        <f>IF(COUNTIFS(tblAttendance[[#This Row],[Branch]],cAt_B,tblAttendance[[#This Row],[Semester]],cAt_S,tblAttendance[[#This Row],[Year]],cAt_Y)=1,tblAttendance[[#This Row],[Attendance %]]+ROW()/1000000000,"")</f>
        <v>0.867469894518072</v>
      </c>
    </row>
    <row r="16">
      <c r="A16" s="79" t="inlineStr">
        <is>
          <t>STU1012</t>
        </is>
      </c>
      <c r="B16" s="79" t="str">
        <f>IFERROR(INDEX(tblStudents[Student Name],MATCH(tblAttendance[[#This Row],[StudentID]],tblStudents[StudentID],0)),"Unknown")</f>
        <v>Sachin Sharma</v>
      </c>
      <c r="C16" s="80" t="str">
        <f>IFERROR(INDEX(tblStudents[Branch],MATCH(tblAttendance[[#This Row],[StudentID]],tblStudents[StudentID],0)),"Unknown")</f>
        <v>CSE</v>
      </c>
      <c r="D16" s="80">
        <f>IFERROR(INDEX(tblStudents[Semester],MATCH(tblAttendance[[#This Row],[StudentID]],tblStudents[StudentID],0)),"Unknown")</f>
        <v>8</v>
      </c>
      <c r="E16" s="80">
        <f>IFERROR(INDEX(tblStudents[Year],MATCH(tblAttendance[[#This Row],[StudentID]],tblStudents[StudentID],0)),"Unknown")</f>
        <v>2023</v>
      </c>
      <c r="F16" s="80" t="n">
        <v>175</v>
      </c>
      <c r="G16" s="80" t="n">
        <v>144</v>
      </c>
      <c r="H16" s="83">
        <f>IFERROR(tblAttendance[[#This Row],[Classes Attended]]/tblAttendance[[#This Row],[Classes Held]],0)</f>
        <v>0.822857142857143</v>
      </c>
      <c r="I1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6" s="80">
        <f>IFERROR(INDEX(tblStudents[Total Marks],MATCH(tblAttendance[[#This Row],[StudentID]],tblStudents[StudentID],0)),"Unknown")</f>
        <v>73</v>
      </c>
      <c r="K16" s="82">
        <f>IF(COUNTIFS(tblAttendance[[#This Row],[Branch]],cAt_B,tblAttendance[[#This Row],[Semester]],cAt_S,tblAttendance[[#This Row],[Year]],cAt_Y)=1,tblAttendance[[#This Row],[Attendance %]]+ROW()/1000000000,"")</f>
        <v>0.822857158857143</v>
      </c>
    </row>
    <row r="17">
      <c r="A17" s="79" t="inlineStr">
        <is>
          <t>STU1013</t>
        </is>
      </c>
      <c r="B17" s="79" t="str">
        <f>IFERROR(INDEX(tblStudents[Student Name],MATCH(tblAttendance[[#This Row],[StudentID]],tblStudents[StudentID],0)),"Unknown")</f>
        <v>Pankaj Goel</v>
      </c>
      <c r="C17" s="80" t="str">
        <f>IFERROR(INDEX(tblStudents[Branch],MATCH(tblAttendance[[#This Row],[StudentID]],tblStudents[StudentID],0)),"Unknown")</f>
        <v>CE</v>
      </c>
      <c r="D17" s="80">
        <f>IFERROR(INDEX(tblStudents[Semester],MATCH(tblAttendance[[#This Row],[StudentID]],tblStudents[StudentID],0)),"Unknown")</f>
        <v>6</v>
      </c>
      <c r="E17" s="80">
        <f>IFERROR(INDEX(tblStudents[Year],MATCH(tblAttendance[[#This Row],[StudentID]],tblStudents[StudentID],0)),"Unknown")</f>
        <v>2024</v>
      </c>
      <c r="F17" s="80" t="n">
        <v>157</v>
      </c>
      <c r="G17" s="80" t="n">
        <v>152</v>
      </c>
      <c r="H17" s="83">
        <f>IFERROR(tblAttendance[[#This Row],[Classes Attended]]/tblAttendance[[#This Row],[Classes Held]],0)</f>
        <v>0.968152866242038</v>
      </c>
      <c r="I1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7" s="80">
        <f>IFERROR(INDEX(tblStudents[Total Marks],MATCH(tblAttendance[[#This Row],[StudentID]],tblStudents[StudentID],0)),"Unknown")</f>
        <v>69</v>
      </c>
      <c r="K17" s="82">
        <f>IF(COUNTIFS(tblAttendance[[#This Row],[Branch]],cAt_B,tblAttendance[[#This Row],[Semester]],cAt_S,tblAttendance[[#This Row],[Year]],cAt_Y)=1,tblAttendance[[#This Row],[Attendance %]]+ROW()/1000000000,"")</f>
        <v>0.968152883242038</v>
      </c>
    </row>
    <row r="18">
      <c r="A18" s="79" t="inlineStr">
        <is>
          <t>STU1014</t>
        </is>
      </c>
      <c r="B18" s="79" t="str">
        <f>IFERROR(INDEX(tblStudents[Student Name],MATCH(tblAttendance[[#This Row],[StudentID]],tblStudents[StudentID],0)),"Unknown")</f>
        <v>Pankaj Rastogi</v>
      </c>
      <c r="C18" s="80" t="str">
        <f>IFERROR(INDEX(tblStudents[Branch],MATCH(tblAttendance[[#This Row],[StudentID]],tblStudents[StudentID],0)),"Unknown")</f>
        <v>ECE</v>
      </c>
      <c r="D18" s="80">
        <f>IFERROR(INDEX(tblStudents[Semester],MATCH(tblAttendance[[#This Row],[StudentID]],tblStudents[StudentID],0)),"Unknown")</f>
        <v>3</v>
      </c>
      <c r="E18" s="80">
        <f>IFERROR(INDEX(tblStudents[Year],MATCH(tblAttendance[[#This Row],[StudentID]],tblStudents[StudentID],0)),"Unknown")</f>
        <v>2025</v>
      </c>
      <c r="F18" s="80" t="n">
        <v>182</v>
      </c>
      <c r="G18" s="80" t="n">
        <v>165</v>
      </c>
      <c r="H18" s="83">
        <f>IFERROR(tblAttendance[[#This Row],[Classes Attended]]/tblAttendance[[#This Row],[Classes Held]],0)</f>
        <v>0.906593406593407</v>
      </c>
      <c r="I1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8" s="80">
        <f>IFERROR(INDEX(tblStudents[Total Marks],MATCH(tblAttendance[[#This Row],[StudentID]],tblStudents[StudentID],0)),"Unknown")</f>
        <v>64</v>
      </c>
      <c r="K18" s="82">
        <f>IF(COUNTIFS(tblAttendance[[#This Row],[Branch]],cAt_B,tblAttendance[[#This Row],[Semester]],cAt_S,tblAttendance[[#This Row],[Year]],cAt_Y)=1,tblAttendance[[#This Row],[Attendance %]]+ROW()/1000000000,"")</f>
        <v>0.906593424593407</v>
      </c>
    </row>
    <row r="19">
      <c r="A19" s="79" t="inlineStr">
        <is>
          <t>STU1015</t>
        </is>
      </c>
      <c r="B19" s="79" t="str">
        <f>IFERROR(INDEX(tblStudents[Student Name],MATCH(tblAttendance[[#This Row],[StudentID]],tblStudents[StudentID],0)),"Unknown")</f>
        <v>Naina Reddy</v>
      </c>
      <c r="C19" s="80" t="str">
        <f>IFERROR(INDEX(tblStudents[Branch],MATCH(tblAttendance[[#This Row],[StudentID]],tblStudents[StudentID],0)),"Unknown")</f>
        <v>ECE</v>
      </c>
      <c r="D19" s="80">
        <f>IFERROR(INDEX(tblStudents[Semester],MATCH(tblAttendance[[#This Row],[StudentID]],tblStudents[StudentID],0)),"Unknown")</f>
        <v>3</v>
      </c>
      <c r="E19" s="80">
        <f>IFERROR(INDEX(tblStudents[Year],MATCH(tblAttendance[[#This Row],[StudentID]],tblStudents[StudentID],0)),"Unknown")</f>
        <v>2024</v>
      </c>
      <c r="F19" s="80" t="n">
        <v>156</v>
      </c>
      <c r="G19" s="80" t="n">
        <v>123</v>
      </c>
      <c r="H19" s="83">
        <f>IFERROR(tblAttendance[[#This Row],[Classes Attended]]/tblAttendance[[#This Row],[Classes Held]],0)</f>
        <v>0.788461538461538</v>
      </c>
      <c r="I19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9" s="80">
        <f>IFERROR(INDEX(tblStudents[Total Marks],MATCH(tblAttendance[[#This Row],[StudentID]],tblStudents[StudentID],0)),"Unknown")</f>
        <v>51</v>
      </c>
      <c r="K19" s="82">
        <f>IF(COUNTIFS(tblAttendance[[#This Row],[Branch]],cAt_B,tblAttendance[[#This Row],[Semester]],cAt_S,tblAttendance[[#This Row],[Year]],cAt_Y)=1,tblAttendance[[#This Row],[Attendance %]]+ROW()/1000000000,"")</f>
        <v>0.788461557461539</v>
      </c>
    </row>
    <row r="20">
      <c r="A20" s="79" t="inlineStr">
        <is>
          <t>STU1016</t>
        </is>
      </c>
      <c r="B20" s="79" t="str">
        <f>IFERROR(INDEX(tblStudents[Student Name],MATCH(tblAttendance[[#This Row],[StudentID]],tblStudents[StudentID],0)),"Unknown")</f>
        <v>Diya Verma</v>
      </c>
      <c r="C20" s="80" t="str">
        <f>IFERROR(INDEX(tblStudents[Branch],MATCH(tblAttendance[[#This Row],[StudentID]],tblStudents[StudentID],0)),"Unknown")</f>
        <v>ME</v>
      </c>
      <c r="D20" s="80">
        <f>IFERROR(INDEX(tblStudents[Semester],MATCH(tblAttendance[[#This Row],[StudentID]],tblStudents[StudentID],0)),"Unknown")</f>
        <v>6</v>
      </c>
      <c r="E20" s="80">
        <f>IFERROR(INDEX(tblStudents[Year],MATCH(tblAttendance[[#This Row],[StudentID]],tblStudents[StudentID],0)),"Unknown")</f>
        <v>2025</v>
      </c>
      <c r="F20" s="80" t="n">
        <v>180</v>
      </c>
      <c r="G20" s="80" t="n">
        <v>141</v>
      </c>
      <c r="H20" s="83">
        <f>IFERROR(tblAttendance[[#This Row],[Classes Attended]]/tblAttendance[[#This Row],[Classes Held]],0)</f>
        <v>0.783333333333333</v>
      </c>
      <c r="I20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0" s="80">
        <f>IFERROR(INDEX(tblStudents[Total Marks],MATCH(tblAttendance[[#This Row],[StudentID]],tblStudents[StudentID],0)),"Unknown")</f>
        <v>67</v>
      </c>
      <c r="K20" s="82">
        <f>IF(COUNTIFS(tblAttendance[[#This Row],[Branch]],cAt_B,tblAttendance[[#This Row],[Semester]],cAt_S,tblAttendance[[#This Row],[Year]],cAt_Y)=1,tblAttendance[[#This Row],[Attendance %]]+ROW()/1000000000,"")</f>
        <v>0.783333353333333</v>
      </c>
    </row>
    <row r="21">
      <c r="A21" s="79" t="inlineStr">
        <is>
          <t>STU1017</t>
        </is>
      </c>
      <c r="B21" s="79" t="str">
        <f>IFERROR(INDEX(tblStudents[Student Name],MATCH(tblAttendance[[#This Row],[StudentID]],tblStudents[StudentID],0)),"Unknown")</f>
        <v>Aditi Agarwal</v>
      </c>
      <c r="C21" s="80" t="str">
        <f>IFERROR(INDEX(tblStudents[Branch],MATCH(tblAttendance[[#This Row],[StudentID]],tblStudents[StudentID],0)),"Unknown")</f>
        <v>ME</v>
      </c>
      <c r="D21" s="80">
        <f>IFERROR(INDEX(tblStudents[Semester],MATCH(tblAttendance[[#This Row],[StudentID]],tblStudents[StudentID],0)),"Unknown")</f>
        <v>4</v>
      </c>
      <c r="E21" s="80">
        <f>IFERROR(INDEX(tblStudents[Year],MATCH(tblAttendance[[#This Row],[StudentID]],tblStudents[StudentID],0)),"Unknown")</f>
        <v>2026</v>
      </c>
      <c r="F21" s="80" t="n">
        <v>170</v>
      </c>
      <c r="G21" s="80" t="n">
        <v>108</v>
      </c>
      <c r="H21" s="83">
        <f>IFERROR(tblAttendance[[#This Row],[Classes Attended]]/tblAttendance[[#This Row],[Classes Held]],0)</f>
        <v>0.635294117647059</v>
      </c>
      <c r="I21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1" s="80">
        <f>IFERROR(INDEX(tblStudents[Total Marks],MATCH(tblAttendance[[#This Row],[StudentID]],tblStudents[StudentID],0)),"Unknown")</f>
        <v>55</v>
      </c>
      <c r="K21" s="82">
        <f>IF(COUNTIFS(tblAttendance[[#This Row],[Branch]],cAt_B,tblAttendance[[#This Row],[Semester]],cAt_S,tblAttendance[[#This Row],[Year]],cAt_Y)=1,tblAttendance[[#This Row],[Attendance %]]+ROW()/1000000000,"")</f>
        <v>0.635294138647059</v>
      </c>
    </row>
    <row r="22">
      <c r="A22" s="79" t="inlineStr">
        <is>
          <t>STU1018</t>
        </is>
      </c>
      <c r="B22" s="79" t="str">
        <f>IFERROR(INDEX(tblStudents[Student Name],MATCH(tblAttendance[[#This Row],[StudentID]],tblStudents[StudentID],0)),"Unknown")</f>
        <v>Nikhil Chauhan</v>
      </c>
      <c r="C22" s="80" t="str">
        <f>IFERROR(INDEX(tblStudents[Branch],MATCH(tblAttendance[[#This Row],[StudentID]],tblStudents[StudentID],0)),"Unknown")</f>
        <v>CSE</v>
      </c>
      <c r="D22" s="80">
        <f>IFERROR(INDEX(tblStudents[Semester],MATCH(tblAttendance[[#This Row],[StudentID]],tblStudents[StudentID],0)),"Unknown")</f>
        <v>1</v>
      </c>
      <c r="E22" s="80">
        <f>IFERROR(INDEX(tblStudents[Year],MATCH(tblAttendance[[#This Row],[StudentID]],tblStudents[StudentID],0)),"Unknown")</f>
        <v>2026</v>
      </c>
      <c r="F22" s="80" t="n">
        <v>169</v>
      </c>
      <c r="G22" s="80" t="n">
        <v>148</v>
      </c>
      <c r="H22" s="83">
        <f>IFERROR(tblAttendance[[#This Row],[Classes Attended]]/tblAttendance[[#This Row],[Classes Held]],0)</f>
        <v>0.875739644970414</v>
      </c>
      <c r="I2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2" s="80">
        <f>IFERROR(INDEX(tblStudents[Total Marks],MATCH(tblAttendance[[#This Row],[StudentID]],tblStudents[StudentID],0)),"Unknown")</f>
        <v>87</v>
      </c>
      <c r="K22" s="82">
        <f>IF(COUNTIFS(tblAttendance[[#This Row],[Branch]],cAt_B,tblAttendance[[#This Row],[Semester]],cAt_S,tblAttendance[[#This Row],[Year]],cAt_Y)=1,tblAttendance[[#This Row],[Attendance %]]+ROW()/1000000000,"")</f>
        <v>0.875739666970414</v>
      </c>
    </row>
    <row r="23">
      <c r="A23" s="79" t="inlineStr">
        <is>
          <t>STU1019</t>
        </is>
      </c>
      <c r="B23" s="79" t="str">
        <f>IFERROR(INDEX(tblStudents[Student Name],MATCH(tblAttendance[[#This Row],[StudentID]],tblStudents[StudentID],0)),"Unknown")</f>
        <v>Siddharth Khan</v>
      </c>
      <c r="C23" s="80" t="str">
        <f>IFERROR(INDEX(tblStudents[Branch],MATCH(tblAttendance[[#This Row],[StudentID]],tblStudents[StudentID],0)),"Unknown")</f>
        <v>CSE</v>
      </c>
      <c r="D23" s="80">
        <f>IFERROR(INDEX(tblStudents[Semester],MATCH(tblAttendance[[#This Row],[StudentID]],tblStudents[StudentID],0)),"Unknown")</f>
        <v>3</v>
      </c>
      <c r="E23" s="80">
        <f>IFERROR(INDEX(tblStudents[Year],MATCH(tblAttendance[[#This Row],[StudentID]],tblStudents[StudentID],0)),"Unknown")</f>
        <v>2024</v>
      </c>
      <c r="F23" s="80" t="n">
        <v>190</v>
      </c>
      <c r="G23" s="80" t="n">
        <v>178</v>
      </c>
      <c r="H23" s="83">
        <f>IFERROR(tblAttendance[[#This Row],[Classes Attended]]/tblAttendance[[#This Row],[Classes Held]],0)</f>
        <v>0.936842105263158</v>
      </c>
      <c r="I2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3" s="80">
        <f>IFERROR(INDEX(tblStudents[Total Marks],MATCH(tblAttendance[[#This Row],[StudentID]],tblStudents[StudentID],0)),"Unknown")</f>
        <v>65</v>
      </c>
      <c r="K23" s="82">
        <f>IF(COUNTIFS(tblAttendance[[#This Row],[Branch]],cAt_B,tblAttendance[[#This Row],[Semester]],cAt_S,tblAttendance[[#This Row],[Year]],cAt_Y)=1,tblAttendance[[#This Row],[Attendance %]]+ROW()/1000000000,"")</f>
        <v>0.936842128263158</v>
      </c>
    </row>
    <row r="24">
      <c r="A24" s="79" t="inlineStr">
        <is>
          <t>STU1020</t>
        </is>
      </c>
      <c r="B24" s="79" t="str">
        <f>IFERROR(INDEX(tblStudents[Student Name],MATCH(tblAttendance[[#This Row],[StudentID]],tblStudents[StudentID],0)),"Unknown")</f>
        <v>Shruti Chauhan</v>
      </c>
      <c r="C24" s="80" t="str">
        <f>IFERROR(INDEX(tblStudents[Branch],MATCH(tblAttendance[[#This Row],[StudentID]],tblStudents[StudentID],0)),"Unknown")</f>
        <v>ECE</v>
      </c>
      <c r="D24" s="80">
        <f>IFERROR(INDEX(tblStudents[Semester],MATCH(tblAttendance[[#This Row],[StudentID]],tblStudents[StudentID],0)),"Unknown")</f>
        <v>5</v>
      </c>
      <c r="E24" s="80">
        <f>IFERROR(INDEX(tblStudents[Year],MATCH(tblAttendance[[#This Row],[StudentID]],tblStudents[StudentID],0)),"Unknown")</f>
        <v>2026</v>
      </c>
      <c r="F24" s="80" t="n">
        <v>169</v>
      </c>
      <c r="G24" s="80" t="n">
        <v>148</v>
      </c>
      <c r="H24" s="83">
        <f>IFERROR(tblAttendance[[#This Row],[Classes Attended]]/tblAttendance[[#This Row],[Classes Held]],0)</f>
        <v>0.875739644970414</v>
      </c>
      <c r="I2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4" s="80">
        <f>IFERROR(INDEX(tblStudents[Total Marks],MATCH(tblAttendance[[#This Row],[StudentID]],tblStudents[StudentID],0)),"Unknown")</f>
        <v>77</v>
      </c>
      <c r="K24" s="82">
        <f>IF(COUNTIFS(tblAttendance[[#This Row],[Branch]],cAt_B,tblAttendance[[#This Row],[Semester]],cAt_S,tblAttendance[[#This Row],[Year]],cAt_Y)=1,tblAttendance[[#This Row],[Attendance %]]+ROW()/1000000000,"")</f>
        <v>0.875739668970414</v>
      </c>
    </row>
    <row r="25">
      <c r="A25" s="79" t="inlineStr">
        <is>
          <t>STU1021</t>
        </is>
      </c>
      <c r="B25" s="79" t="str">
        <f>IFERROR(INDEX(tblStudents[Student Name],MATCH(tblAttendance[[#This Row],[StudentID]],tblStudents[StudentID],0)),"Unknown")</f>
        <v>Anjali Kapoor</v>
      </c>
      <c r="C25" s="80" t="str">
        <f>IFERROR(INDEX(tblStudents[Branch],MATCH(tblAttendance[[#This Row],[StudentID]],tblStudents[StudentID],0)),"Unknown")</f>
        <v>ME</v>
      </c>
      <c r="D25" s="80">
        <f>IFERROR(INDEX(tblStudents[Semester],MATCH(tblAttendance[[#This Row],[StudentID]],tblStudents[StudentID],0)),"Unknown")</f>
        <v>8</v>
      </c>
      <c r="E25" s="80">
        <f>IFERROR(INDEX(tblStudents[Year],MATCH(tblAttendance[[#This Row],[StudentID]],tblStudents[StudentID],0)),"Unknown")</f>
        <v>2023</v>
      </c>
      <c r="F25" s="80" t="n">
        <v>161</v>
      </c>
      <c r="G25" s="80" t="n">
        <v>114</v>
      </c>
      <c r="H25" s="83">
        <f>IFERROR(tblAttendance[[#This Row],[Classes Attended]]/tblAttendance[[#This Row],[Classes Held]],0)</f>
        <v>0.708074534161491</v>
      </c>
      <c r="I25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5" s="80">
        <f>IFERROR(INDEX(tblStudents[Total Marks],MATCH(tblAttendance[[#This Row],[StudentID]],tblStudents[StudentID],0)),"Unknown")</f>
        <v>52</v>
      </c>
      <c r="K25" s="82">
        <f>IF(COUNTIFS(tblAttendance[[#This Row],[Branch]],cAt_B,tblAttendance[[#This Row],[Semester]],cAt_S,tblAttendance[[#This Row],[Year]],cAt_Y)=1,tblAttendance[[#This Row],[Attendance %]]+ROW()/1000000000,"")</f>
        <v>0.708074559161491</v>
      </c>
    </row>
    <row r="26">
      <c r="A26" s="79" t="inlineStr">
        <is>
          <t>STU1022</t>
        </is>
      </c>
      <c r="B26" s="79" t="str">
        <f>IFERROR(INDEX(tblStudents[Student Name],MATCH(tblAttendance[[#This Row],[StudentID]],tblStudents[StudentID],0)),"Unknown")</f>
        <v>Karan Shah</v>
      </c>
      <c r="C26" s="80" t="str">
        <f>IFERROR(INDEX(tblStudents[Branch],MATCH(tblAttendance[[#This Row],[StudentID]],tblStudents[StudentID],0)),"Unknown")</f>
        <v>ME</v>
      </c>
      <c r="D26" s="80">
        <f>IFERROR(INDEX(tblStudents[Semester],MATCH(tblAttendance[[#This Row],[StudentID]],tblStudents[StudentID],0)),"Unknown")</f>
        <v>7</v>
      </c>
      <c r="E26" s="80">
        <f>IFERROR(INDEX(tblStudents[Year],MATCH(tblAttendance[[#This Row],[StudentID]],tblStudents[StudentID],0)),"Unknown")</f>
        <v>2024</v>
      </c>
      <c r="F26" s="80" t="n">
        <v>156</v>
      </c>
      <c r="G26" s="80" t="n">
        <v>128</v>
      </c>
      <c r="H26" s="83">
        <f>IFERROR(tblAttendance[[#This Row],[Classes Attended]]/tblAttendance[[#This Row],[Classes Held]],0)</f>
        <v>0.820512820512821</v>
      </c>
      <c r="I2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6" s="80">
        <f>IFERROR(INDEX(tblStudents[Total Marks],MATCH(tblAttendance[[#This Row],[StudentID]],tblStudents[StudentID],0)),"Unknown")</f>
        <v>73</v>
      </c>
      <c r="K26" s="82">
        <f>IF(COUNTIFS(tblAttendance[[#This Row],[Branch]],cAt_B,tblAttendance[[#This Row],[Semester]],cAt_S,tblAttendance[[#This Row],[Year]],cAt_Y)=1,tblAttendance[[#This Row],[Attendance %]]+ROW()/1000000000,"")</f>
        <v>0.820512846512821</v>
      </c>
    </row>
    <row r="27">
      <c r="A27" s="79" t="inlineStr">
        <is>
          <t>STU1023</t>
        </is>
      </c>
      <c r="B27" s="79" t="str">
        <f>IFERROR(INDEX(tblStudents[Student Name],MATCH(tblAttendance[[#This Row],[StudentID]],tblStudents[StudentID],0)),"Unknown")</f>
        <v>Amit Garg</v>
      </c>
      <c r="C27" s="80" t="str">
        <f>IFERROR(INDEX(tblStudents[Branch],MATCH(tblAttendance[[#This Row],[StudentID]],tblStudents[StudentID],0)),"Unknown")</f>
        <v>CE</v>
      </c>
      <c r="D27" s="80">
        <f>IFERROR(INDEX(tblStudents[Semester],MATCH(tblAttendance[[#This Row],[StudentID]],tblStudents[StudentID],0)),"Unknown")</f>
        <v>4</v>
      </c>
      <c r="E27" s="80">
        <f>IFERROR(INDEX(tblStudents[Year],MATCH(tblAttendance[[#This Row],[StudentID]],tblStudents[StudentID],0)),"Unknown")</f>
        <v>2025</v>
      </c>
      <c r="F27" s="80" t="n">
        <v>151</v>
      </c>
      <c r="G27" s="80" t="n">
        <v>106</v>
      </c>
      <c r="H27" s="83">
        <f>IFERROR(tblAttendance[[#This Row],[Classes Attended]]/tblAttendance[[#This Row],[Classes Held]],0)</f>
        <v>0.701986754966887</v>
      </c>
      <c r="I27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7" s="80">
        <f>IFERROR(INDEX(tblStudents[Total Marks],MATCH(tblAttendance[[#This Row],[StudentID]],tblStudents[StudentID],0)),"Unknown")</f>
        <v>54</v>
      </c>
      <c r="K27" s="82">
        <f>IF(COUNTIFS(tblAttendance[[#This Row],[Branch]],cAt_B,tblAttendance[[#This Row],[Semester]],cAt_S,tblAttendance[[#This Row],[Year]],cAt_Y)=1,tblAttendance[[#This Row],[Attendance %]]+ROW()/1000000000,"")</f>
        <v>0.701986781966888</v>
      </c>
    </row>
    <row r="28">
      <c r="A28" s="79" t="inlineStr">
        <is>
          <t>STU1024</t>
        </is>
      </c>
      <c r="B28" s="79" t="str">
        <f>IFERROR(INDEX(tblStudents[Student Name],MATCH(tblAttendance[[#This Row],[StudentID]],tblStudents[StudentID],0)),"Unknown")</f>
        <v>Aditi Mishra</v>
      </c>
      <c r="C28" s="80" t="str">
        <f>IFERROR(INDEX(tblStudents[Branch],MATCH(tblAttendance[[#This Row],[StudentID]],tblStudents[StudentID],0)),"Unknown")</f>
        <v>CE</v>
      </c>
      <c r="D28" s="80">
        <f>IFERROR(INDEX(tblStudents[Semester],MATCH(tblAttendance[[#This Row],[StudentID]],tblStudents[StudentID],0)),"Unknown")</f>
        <v>6</v>
      </c>
      <c r="E28" s="80">
        <f>IFERROR(INDEX(tblStudents[Year],MATCH(tblAttendance[[#This Row],[StudentID]],tblStudents[StudentID],0)),"Unknown")</f>
        <v>2024</v>
      </c>
      <c r="F28" s="80" t="n">
        <v>179</v>
      </c>
      <c r="G28" s="80" t="n">
        <v>163</v>
      </c>
      <c r="H28" s="83">
        <f>IFERROR(tblAttendance[[#This Row],[Classes Attended]]/tblAttendance[[#This Row],[Classes Held]],0)</f>
        <v>0.910614525139665</v>
      </c>
      <c r="I2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8" s="80">
        <f>IFERROR(INDEX(tblStudents[Total Marks],MATCH(tblAttendance[[#This Row],[StudentID]],tblStudents[StudentID],0)),"Unknown")</f>
        <v>77</v>
      </c>
      <c r="K28" s="82">
        <f>IF(COUNTIFS(tblAttendance[[#This Row],[Branch]],cAt_B,tblAttendance[[#This Row],[Semester]],cAt_S,tblAttendance[[#This Row],[Year]],cAt_Y)=1,tblAttendance[[#This Row],[Attendance %]]+ROW()/1000000000,"")</f>
        <v>0.910614553139665</v>
      </c>
    </row>
    <row r="29">
      <c r="A29" s="79" t="inlineStr">
        <is>
          <t>STU1025</t>
        </is>
      </c>
      <c r="B29" s="79" t="str">
        <f>IFERROR(INDEX(tblStudents[Student Name],MATCH(tblAttendance[[#This Row],[StudentID]],tblStudents[StudentID],0)),"Unknown")</f>
        <v>Ankit Kapoor</v>
      </c>
      <c r="C29" s="80" t="str">
        <f>IFERROR(INDEX(tblStudents[Branch],MATCH(tblAttendance[[#This Row],[StudentID]],tblStudents[StudentID],0)),"Unknown")</f>
        <v>CSE</v>
      </c>
      <c r="D29" s="80">
        <f>IFERROR(INDEX(tblStudents[Semester],MATCH(tblAttendance[[#This Row],[StudentID]],tblStudents[StudentID],0)),"Unknown")</f>
        <v>5</v>
      </c>
      <c r="E29" s="80">
        <f>IFERROR(INDEX(tblStudents[Year],MATCH(tblAttendance[[#This Row],[StudentID]],tblStudents[StudentID],0)),"Unknown")</f>
        <v>2023</v>
      </c>
      <c r="F29" s="80" t="n">
        <v>166</v>
      </c>
      <c r="G29" s="80" t="n">
        <v>137</v>
      </c>
      <c r="H29" s="83">
        <f>IFERROR(tblAttendance[[#This Row],[Classes Attended]]/tblAttendance[[#This Row],[Classes Held]],0)</f>
        <v>0.825301204819277</v>
      </c>
      <c r="I2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9" s="80">
        <f>IFERROR(INDEX(tblStudents[Total Marks],MATCH(tblAttendance[[#This Row],[StudentID]],tblStudents[StudentID],0)),"Unknown")</f>
        <v>96</v>
      </c>
      <c r="K29" s="82">
        <f>IF(COUNTIFS(tblAttendance[[#This Row],[Branch]],cAt_B,tblAttendance[[#This Row],[Semester]],cAt_S,tblAttendance[[#This Row],[Year]],cAt_Y)=1,tblAttendance[[#This Row],[Attendance %]]+ROW()/1000000000,"")</f>
        <v>0.825301233819277</v>
      </c>
    </row>
    <row r="30">
      <c r="A30" s="79" t="inlineStr">
        <is>
          <t>STU1026</t>
        </is>
      </c>
      <c r="B30" s="79" t="str">
        <f>IFERROR(INDEX(tblStudents[Student Name],MATCH(tblAttendance[[#This Row],[StudentID]],tblStudents[StudentID],0)),"Unknown")</f>
        <v>Rahul Tyagi</v>
      </c>
      <c r="C30" s="80" t="str">
        <f>IFERROR(INDEX(tblStudents[Branch],MATCH(tblAttendance[[#This Row],[StudentID]],tblStudents[StudentID],0)),"Unknown")</f>
        <v>CSE</v>
      </c>
      <c r="D30" s="80">
        <f>IFERROR(INDEX(tblStudents[Semester],MATCH(tblAttendance[[#This Row],[StudentID]],tblStudents[StudentID],0)),"Unknown")</f>
        <v>2</v>
      </c>
      <c r="E30" s="80">
        <f>IFERROR(INDEX(tblStudents[Year],MATCH(tblAttendance[[#This Row],[StudentID]],tblStudents[StudentID],0)),"Unknown")</f>
        <v>2023</v>
      </c>
      <c r="F30" s="80" t="n">
        <v>162</v>
      </c>
      <c r="G30" s="80" t="n">
        <v>128</v>
      </c>
      <c r="H30" s="83">
        <f>IFERROR(tblAttendance[[#This Row],[Classes Attended]]/tblAttendance[[#This Row],[Classes Held]],0)</f>
        <v>0.790123456790123</v>
      </c>
      <c r="I30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30" s="80">
        <f>IFERROR(INDEX(tblStudents[Total Marks],MATCH(tblAttendance[[#This Row],[StudentID]],tblStudents[StudentID],0)),"Unknown")</f>
        <v>58</v>
      </c>
      <c r="K30" s="82">
        <f>IF(COUNTIFS(tblAttendance[[#This Row],[Branch]],cAt_B,tblAttendance[[#This Row],[Semester]],cAt_S,tblAttendance[[#This Row],[Year]],cAt_Y)=1,tblAttendance[[#This Row],[Attendance %]]+ROW()/1000000000,"")</f>
        <v>0.790123486790124</v>
      </c>
    </row>
    <row r="31">
      <c r="A31" s="79" t="inlineStr">
        <is>
          <t>STU1027</t>
        </is>
      </c>
      <c r="B31" s="79" t="str">
        <f>IFERROR(INDEX(tblStudents[Student Name],MATCH(tblAttendance[[#This Row],[StudentID]],tblStudents[StudentID],0)),"Unknown")</f>
        <v>Pallavi Shah</v>
      </c>
      <c r="C31" s="80" t="str">
        <f>IFERROR(INDEX(tblStudents[Branch],MATCH(tblAttendance[[#This Row],[StudentID]],tblStudents[StudentID],0)),"Unknown")</f>
        <v>ME</v>
      </c>
      <c r="D31" s="80">
        <f>IFERROR(INDEX(tblStudents[Semester],MATCH(tblAttendance[[#This Row],[StudentID]],tblStudents[StudentID],0)),"Unknown")</f>
        <v>1</v>
      </c>
      <c r="E31" s="80">
        <f>IFERROR(INDEX(tblStudents[Year],MATCH(tblAttendance[[#This Row],[StudentID]],tblStudents[StudentID],0)),"Unknown")</f>
        <v>2026</v>
      </c>
      <c r="F31" s="80" t="n">
        <v>155</v>
      </c>
      <c r="G31" s="80" t="n">
        <v>132</v>
      </c>
      <c r="H31" s="83">
        <f>IFERROR(tblAttendance[[#This Row],[Classes Attended]]/tblAttendance[[#This Row],[Classes Held]],0)</f>
        <v>0.851612903225806</v>
      </c>
      <c r="I3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31" s="80">
        <f>IFERROR(INDEX(tblStudents[Total Marks],MATCH(tblAttendance[[#This Row],[StudentID]],tblStudents[StudentID],0)),"Unknown")</f>
        <v>48</v>
      </c>
      <c r="K31" s="82">
        <f>IF(COUNTIFS(tblAttendance[[#This Row],[Branch]],cAt_B,tblAttendance[[#This Row],[Semester]],cAt_S,tblAttendance[[#This Row],[Year]],cAt_Y)=1,tblAttendance[[#This Row],[Attendance %]]+ROW()/1000000000,"")</f>
        <v>0.851612934225806</v>
      </c>
    </row>
    <row r="32">
      <c r="A32" s="79" t="inlineStr">
        <is>
          <t>STU1028</t>
        </is>
      </c>
      <c r="B32" s="79" t="str">
        <f>IFERROR(INDEX(tblStudents[Student Name],MATCH(tblAttendance[[#This Row],[StudentID]],tblStudents[StudentID],0)),"Unknown")</f>
        <v>Naina Bansal</v>
      </c>
      <c r="C32" s="80" t="str">
        <f>IFERROR(INDEX(tblStudents[Branch],MATCH(tblAttendance[[#This Row],[StudentID]],tblStudents[StudentID],0)),"Unknown")</f>
        <v>ECE</v>
      </c>
      <c r="D32" s="80">
        <f>IFERROR(INDEX(tblStudents[Semester],MATCH(tblAttendance[[#This Row],[StudentID]],tblStudents[StudentID],0)),"Unknown")</f>
        <v>6</v>
      </c>
      <c r="E32" s="80">
        <f>IFERROR(INDEX(tblStudents[Year],MATCH(tblAttendance[[#This Row],[StudentID]],tblStudents[StudentID],0)),"Unknown")</f>
        <v>2023</v>
      </c>
      <c r="F32" s="80" t="n">
        <v>179</v>
      </c>
      <c r="G32" s="80" t="n">
        <v>136</v>
      </c>
      <c r="H32" s="83">
        <f>IFERROR(tblAttendance[[#This Row],[Classes Attended]]/tblAttendance[[#This Row],[Classes Held]],0)</f>
        <v>0.759776536312849</v>
      </c>
      <c r="I3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32" s="80">
        <f>IFERROR(INDEX(tblStudents[Total Marks],MATCH(tblAttendance[[#This Row],[StudentID]],tblStudents[StudentID],0)),"Unknown")</f>
        <v>52</v>
      </c>
      <c r="K32" s="82">
        <f>IF(COUNTIFS(tblAttendance[[#This Row],[Branch]],cAt_B,tblAttendance[[#This Row],[Semester]],cAt_S,tblAttendance[[#This Row],[Year]],cAt_Y)=1,tblAttendance[[#This Row],[Attendance %]]+ROW()/1000000000,"")</f>
        <v>0.759776568312849</v>
      </c>
    </row>
    <row r="33">
      <c r="A33" s="79" t="inlineStr">
        <is>
          <t>STU1029</t>
        </is>
      </c>
      <c r="B33" s="79" t="str">
        <f>IFERROR(INDEX(tblStudents[Student Name],MATCH(tblAttendance[[#This Row],[StudentID]],tblStudents[StudentID],0)),"Unknown")</f>
        <v>Komal Tiwari</v>
      </c>
      <c r="C33" s="80" t="str">
        <f>IFERROR(INDEX(tblStudents[Branch],MATCH(tblAttendance[[#This Row],[StudentID]],tblStudents[StudentID],0)),"Unknown")</f>
        <v>ECE</v>
      </c>
      <c r="D33" s="80">
        <f>IFERROR(INDEX(tblStudents[Semester],MATCH(tblAttendance[[#This Row],[StudentID]],tblStudents[StudentID],0)),"Unknown")</f>
        <v>7</v>
      </c>
      <c r="E33" s="80">
        <f>IFERROR(INDEX(tblStudents[Year],MATCH(tblAttendance[[#This Row],[StudentID]],tblStudents[StudentID],0)),"Unknown")</f>
        <v>2025</v>
      </c>
      <c r="F33" s="80" t="n">
        <v>172</v>
      </c>
      <c r="G33" s="80" t="n">
        <v>146</v>
      </c>
      <c r="H33" s="83">
        <f>IFERROR(tblAttendance[[#This Row],[Classes Attended]]/tblAttendance[[#This Row],[Classes Held]],0)</f>
        <v>0.848837209302326</v>
      </c>
      <c r="I3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33" s="80">
        <f>IFERROR(INDEX(tblStudents[Total Marks],MATCH(tblAttendance[[#This Row],[StudentID]],tblStudents[StudentID],0)),"Unknown")</f>
        <v>69</v>
      </c>
      <c r="K33" s="82">
        <f>IF(COUNTIFS(tblAttendance[[#This Row],[Branch]],cAt_B,tblAttendance[[#This Row],[Semester]],cAt_S,tblAttendance[[#This Row],[Year]],cAt_Y)=1,tblAttendance[[#This Row],[Attendance %]]+ROW()/1000000000,"")</f>
        <v>0.848837242302326</v>
      </c>
    </row>
    <row r="34">
      <c r="A34" s="79" t="inlineStr">
        <is>
          <t>STU1030</t>
        </is>
      </c>
      <c r="B34" s="79" t="str">
        <f>IFERROR(INDEX(tblStudents[Student Name],MATCH(tblAttendance[[#This Row],[StudentID]],tblStudents[StudentID],0)),"Unknown")</f>
        <v>Vikram Garg</v>
      </c>
      <c r="C34" s="80" t="str">
        <f>IFERROR(INDEX(tblStudents[Branch],MATCH(tblAttendance[[#This Row],[StudentID]],tblStudents[StudentID],0)),"Unknown")</f>
        <v>CSE</v>
      </c>
      <c r="D34" s="80">
        <f>IFERROR(INDEX(tblStudents[Semester],MATCH(tblAttendance[[#This Row],[StudentID]],tblStudents[StudentID],0)),"Unknown")</f>
        <v>1</v>
      </c>
      <c r="E34" s="80">
        <f>IFERROR(INDEX(tblStudents[Year],MATCH(tblAttendance[[#This Row],[StudentID]],tblStudents[StudentID],0)),"Unknown")</f>
        <v>2024</v>
      </c>
      <c r="F34" s="80" t="n">
        <v>155</v>
      </c>
      <c r="G34" s="80" t="n">
        <v>145</v>
      </c>
      <c r="H34" s="83">
        <f>IFERROR(tblAttendance[[#This Row],[Classes Attended]]/tblAttendance[[#This Row],[Classes Held]],0)</f>
        <v>0.935483870967742</v>
      </c>
      <c r="I3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34" s="80">
        <f>IFERROR(INDEX(tblStudents[Total Marks],MATCH(tblAttendance[[#This Row],[StudentID]],tblStudents[StudentID],0)),"Unknown")</f>
        <v>65</v>
      </c>
      <c r="K34" s="82">
        <f>IF(COUNTIFS(tblAttendance[[#This Row],[Branch]],cAt_B,tblAttendance[[#This Row],[Semester]],cAt_S,tblAttendance[[#This Row],[Year]],cAt_Y)=1,tblAttendance[[#This Row],[Attendance %]]+ROW()/1000000000,"")</f>
        <v>0.935483904967742</v>
      </c>
    </row>
    <row r="35">
      <c r="A35" s="79" t="inlineStr">
        <is>
          <t>STU1031</t>
        </is>
      </c>
      <c r="B35" s="79" t="str">
        <f>IFERROR(INDEX(tblStudents[Student Name],MATCH(tblAttendance[[#This Row],[StudentID]],tblStudents[StudentID],0)),"Unknown")</f>
        <v>Diya Patel</v>
      </c>
      <c r="C35" s="80" t="str">
        <f>IFERROR(INDEX(tblStudents[Branch],MATCH(tblAttendance[[#This Row],[StudentID]],tblStudents[StudentID],0)),"Unknown")</f>
        <v>ME</v>
      </c>
      <c r="D35" s="80">
        <f>IFERROR(INDEX(tblStudents[Semester],MATCH(tblAttendance[[#This Row],[StudentID]],tblStudents[StudentID],0)),"Unknown")</f>
        <v>6</v>
      </c>
      <c r="E35" s="80">
        <f>IFERROR(INDEX(tblStudents[Year],MATCH(tblAttendance[[#This Row],[StudentID]],tblStudents[StudentID],0)),"Unknown")</f>
        <v>2026</v>
      </c>
      <c r="F35" s="80" t="n">
        <v>181</v>
      </c>
      <c r="G35" s="80" t="n">
        <v>151</v>
      </c>
      <c r="H35" s="83">
        <f>IFERROR(tblAttendance[[#This Row],[Classes Attended]]/tblAttendance[[#This Row],[Classes Held]],0)</f>
        <v>0.834254143646409</v>
      </c>
      <c r="I3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35" s="80">
        <f>IFERROR(INDEX(tblStudents[Total Marks],MATCH(tblAttendance[[#This Row],[StudentID]],tblStudents[StudentID],0)),"Unknown")</f>
        <v>57</v>
      </c>
      <c r="K35" s="82">
        <f>IF(COUNTIFS(tblAttendance[[#This Row],[Branch]],cAt_B,tblAttendance[[#This Row],[Semester]],cAt_S,tblAttendance[[#This Row],[Year]],cAt_Y)=1,tblAttendance[[#This Row],[Attendance %]]+ROW()/1000000000,"")</f>
        <v>0.834254178646409</v>
      </c>
    </row>
    <row r="36">
      <c r="A36" s="79" t="inlineStr">
        <is>
          <t>STU1032</t>
        </is>
      </c>
      <c r="B36" s="79" t="str">
        <f>IFERROR(INDEX(tblStudents[Student Name],MATCH(tblAttendance[[#This Row],[StudentID]],tblStudents[StudentID],0)),"Unknown")</f>
        <v>Pankaj Siddiqui</v>
      </c>
      <c r="C36" s="80" t="str">
        <f>IFERROR(INDEX(tblStudents[Branch],MATCH(tblAttendance[[#This Row],[StudentID]],tblStudents[StudentID],0)),"Unknown")</f>
        <v>ECE</v>
      </c>
      <c r="D36" s="80">
        <f>IFERROR(INDEX(tblStudents[Semester],MATCH(tblAttendance[[#This Row],[StudentID]],tblStudents[StudentID],0)),"Unknown")</f>
        <v>5</v>
      </c>
      <c r="E36" s="80">
        <f>IFERROR(INDEX(tblStudents[Year],MATCH(tblAttendance[[#This Row],[StudentID]],tblStudents[StudentID],0)),"Unknown")</f>
        <v>2024</v>
      </c>
      <c r="F36" s="80" t="n">
        <v>160</v>
      </c>
      <c r="G36" s="80" t="n">
        <v>114</v>
      </c>
      <c r="H36" s="83">
        <f>IFERROR(tblAttendance[[#This Row],[Classes Attended]]/tblAttendance[[#This Row],[Classes Held]],0)</f>
        <v>0.7125</v>
      </c>
      <c r="I3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36" s="80">
        <f>IFERROR(INDEX(tblStudents[Total Marks],MATCH(tblAttendance[[#This Row],[StudentID]],tblStudents[StudentID],0)),"Unknown")</f>
        <v>73</v>
      </c>
      <c r="K36" s="82">
        <f>IF(COUNTIFS(tblAttendance[[#This Row],[Branch]],cAt_B,tblAttendance[[#This Row],[Semester]],cAt_S,tblAttendance[[#This Row],[Year]],cAt_Y)=1,tblAttendance[[#This Row],[Attendance %]]+ROW()/1000000000,"")</f>
        <v>0.712500036</v>
      </c>
    </row>
    <row r="37">
      <c r="A37" s="79" t="inlineStr">
        <is>
          <t>STU1033</t>
        </is>
      </c>
      <c r="B37" s="79" t="str">
        <f>IFERROR(INDEX(tblStudents[Student Name],MATCH(tblAttendance[[#This Row],[StudentID]],tblStudents[StudentID],0)),"Unknown")</f>
        <v>Tanvi Kapoor</v>
      </c>
      <c r="C37" s="80" t="str">
        <f>IFERROR(INDEX(tblStudents[Branch],MATCH(tblAttendance[[#This Row],[StudentID]],tblStudents[StudentID],0)),"Unknown")</f>
        <v>CSE</v>
      </c>
      <c r="D37" s="80">
        <f>IFERROR(INDEX(tblStudents[Semester],MATCH(tblAttendance[[#This Row],[StudentID]],tblStudents[StudentID],0)),"Unknown")</f>
        <v>2</v>
      </c>
      <c r="E37" s="80">
        <f>IFERROR(INDEX(tblStudents[Year],MATCH(tblAttendance[[#This Row],[StudentID]],tblStudents[StudentID],0)),"Unknown")</f>
        <v>2024</v>
      </c>
      <c r="F37" s="80" t="n">
        <v>177</v>
      </c>
      <c r="G37" s="80" t="n">
        <v>131</v>
      </c>
      <c r="H37" s="83">
        <f>IFERROR(tblAttendance[[#This Row],[Classes Attended]]/tblAttendance[[#This Row],[Classes Held]],0)</f>
        <v>0.740112994350282</v>
      </c>
      <c r="I37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37" s="80">
        <f>IFERROR(INDEX(tblStudents[Total Marks],MATCH(tblAttendance[[#This Row],[StudentID]],tblStudents[StudentID],0)),"Unknown")</f>
        <v>62</v>
      </c>
      <c r="K37" s="82">
        <f>IF(COUNTIFS(tblAttendance[[#This Row],[Branch]],cAt_B,tblAttendance[[#This Row],[Semester]],cAt_S,tblAttendance[[#This Row],[Year]],cAt_Y)=1,tblAttendance[[#This Row],[Attendance %]]+ROW()/1000000000,"")</f>
        <v>0.740113031350282</v>
      </c>
    </row>
    <row r="38">
      <c r="A38" s="79" t="inlineStr">
        <is>
          <t>STU1034</t>
        </is>
      </c>
      <c r="B38" s="79" t="str">
        <f>IFERROR(INDEX(tblStudents[Student Name],MATCH(tblAttendance[[#This Row],[StudentID]],tblStudents[StudentID],0)),"Unknown")</f>
        <v>Neha Sharma</v>
      </c>
      <c r="C38" s="80" t="str">
        <f>IFERROR(INDEX(tblStudents[Branch],MATCH(tblAttendance[[#This Row],[StudentID]],tblStudents[StudentID],0)),"Unknown")</f>
        <v>ME</v>
      </c>
      <c r="D38" s="80">
        <f>IFERROR(INDEX(tblStudents[Semester],MATCH(tblAttendance[[#This Row],[StudentID]],tblStudents[StudentID],0)),"Unknown")</f>
        <v>4</v>
      </c>
      <c r="E38" s="80">
        <f>IFERROR(INDEX(tblStudents[Year],MATCH(tblAttendance[[#This Row],[StudentID]],tblStudents[StudentID],0)),"Unknown")</f>
        <v>2026</v>
      </c>
      <c r="F38" s="80" t="n">
        <v>170</v>
      </c>
      <c r="G38" s="80" t="n">
        <v>152</v>
      </c>
      <c r="H38" s="83">
        <f>IFERROR(tblAttendance[[#This Row],[Classes Attended]]/tblAttendance[[#This Row],[Classes Held]],0)</f>
        <v>0.894117647058824</v>
      </c>
      <c r="I3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38" s="80">
        <f>IFERROR(INDEX(tblStudents[Total Marks],MATCH(tblAttendance[[#This Row],[StudentID]],tblStudents[StudentID],0)),"Unknown")</f>
        <v>66</v>
      </c>
      <c r="K38" s="82">
        <f>IF(COUNTIFS(tblAttendance[[#This Row],[Branch]],cAt_B,tblAttendance[[#This Row],[Semester]],cAt_S,tblAttendance[[#This Row],[Year]],cAt_Y)=1,tblAttendance[[#This Row],[Attendance %]]+ROW()/1000000000,"")</f>
        <v>0.894117685058824</v>
      </c>
    </row>
    <row r="39">
      <c r="A39" s="79" t="inlineStr">
        <is>
          <t>STU1035</t>
        </is>
      </c>
      <c r="B39" s="79" t="str">
        <f>IFERROR(INDEX(tblStudents[Student Name],MATCH(tblAttendance[[#This Row],[StudentID]],tblStudents[StudentID],0)),"Unknown")</f>
        <v>Saurabh Bhatt</v>
      </c>
      <c r="C39" s="80" t="str">
        <f>IFERROR(INDEX(tblStudents[Branch],MATCH(tblAttendance[[#This Row],[StudentID]],tblStudents[StudentID],0)),"Unknown")</f>
        <v>IT</v>
      </c>
      <c r="D39" s="80">
        <f>IFERROR(INDEX(tblStudents[Semester],MATCH(tblAttendance[[#This Row],[StudentID]],tblStudents[StudentID],0)),"Unknown")</f>
        <v>4</v>
      </c>
      <c r="E39" s="80">
        <f>IFERROR(INDEX(tblStudents[Year],MATCH(tblAttendance[[#This Row],[StudentID]],tblStudents[StudentID],0)),"Unknown")</f>
        <v>2025</v>
      </c>
      <c r="F39" s="80" t="n">
        <v>181</v>
      </c>
      <c r="G39" s="80" t="n">
        <v>155</v>
      </c>
      <c r="H39" s="83">
        <f>IFERROR(tblAttendance[[#This Row],[Classes Attended]]/tblAttendance[[#This Row],[Classes Held]],0)</f>
        <v>0.856353591160221</v>
      </c>
      <c r="I3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39" s="80">
        <f>IFERROR(INDEX(tblStudents[Total Marks],MATCH(tblAttendance[[#This Row],[StudentID]],tblStudents[StudentID],0)),"Unknown")</f>
        <v>62</v>
      </c>
      <c r="K39" s="82">
        <f>IF(COUNTIFS(tblAttendance[[#This Row],[Branch]],cAt_B,tblAttendance[[#This Row],[Semester]],cAt_S,tblAttendance[[#This Row],[Year]],cAt_Y)=1,tblAttendance[[#This Row],[Attendance %]]+ROW()/1000000000,"")</f>
        <v>0.856353630160221</v>
      </c>
    </row>
    <row r="40">
      <c r="A40" s="79" t="inlineStr">
        <is>
          <t>STU1036</t>
        </is>
      </c>
      <c r="B40" s="79" t="str">
        <f>IFERROR(INDEX(tblStudents[Student Name],MATCH(tblAttendance[[#This Row],[StudentID]],tblStudents[StudentID],0)),"Unknown")</f>
        <v>Shruti Saxena</v>
      </c>
      <c r="C40" s="80" t="str">
        <f>IFERROR(INDEX(tblStudents[Branch],MATCH(tblAttendance[[#This Row],[StudentID]],tblStudents[StudentID],0)),"Unknown")</f>
        <v>CSE</v>
      </c>
      <c r="D40" s="80">
        <f>IFERROR(INDEX(tblStudents[Semester],MATCH(tblAttendance[[#This Row],[StudentID]],tblStudents[StudentID],0)),"Unknown")</f>
        <v>7</v>
      </c>
      <c r="E40" s="80">
        <f>IFERROR(INDEX(tblStudents[Year],MATCH(tblAttendance[[#This Row],[StudentID]],tblStudents[StudentID],0)),"Unknown")</f>
        <v>2024</v>
      </c>
      <c r="F40" s="80" t="n">
        <v>158</v>
      </c>
      <c r="G40" s="80" t="n">
        <v>148</v>
      </c>
      <c r="H40" s="83">
        <f>IFERROR(tblAttendance[[#This Row],[Classes Attended]]/tblAttendance[[#This Row],[Classes Held]],0)</f>
        <v>0.936708860759494</v>
      </c>
      <c r="I4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0" s="80">
        <f>IFERROR(INDEX(tblStudents[Total Marks],MATCH(tblAttendance[[#This Row],[StudentID]],tblStudents[StudentID],0)),"Unknown")</f>
        <v>85</v>
      </c>
      <c r="K40" s="82">
        <f>IF(COUNTIFS(tblAttendance[[#This Row],[Branch]],cAt_B,tblAttendance[[#This Row],[Semester]],cAt_S,tblAttendance[[#This Row],[Year]],cAt_Y)=1,tblAttendance[[#This Row],[Attendance %]]+ROW()/1000000000,"")</f>
        <v>0.936708900759494</v>
      </c>
    </row>
    <row r="41">
      <c r="A41" s="79" t="inlineStr">
        <is>
          <t>STU1037</t>
        </is>
      </c>
      <c r="B41" s="79" t="str">
        <f>IFERROR(INDEX(tblStudents[Student Name],MATCH(tblAttendance[[#This Row],[StudentID]],tblStudents[StudentID],0)),"Unknown")</f>
        <v>Priya Chauhan</v>
      </c>
      <c r="C41" s="80" t="str">
        <f>IFERROR(INDEX(tblStudents[Branch],MATCH(tblAttendance[[#This Row],[StudentID]],tblStudents[StudentID],0)),"Unknown")</f>
        <v>CSE</v>
      </c>
      <c r="D41" s="80">
        <f>IFERROR(INDEX(tblStudents[Semester],MATCH(tblAttendance[[#This Row],[StudentID]],tblStudents[StudentID],0)),"Unknown")</f>
        <v>6</v>
      </c>
      <c r="E41" s="80">
        <f>IFERROR(INDEX(tblStudents[Year],MATCH(tblAttendance[[#This Row],[StudentID]],tblStudents[StudentID],0)),"Unknown")</f>
        <v>2025</v>
      </c>
      <c r="F41" s="80" t="n">
        <v>153</v>
      </c>
      <c r="G41" s="80" t="n">
        <v>138</v>
      </c>
      <c r="H41" s="83">
        <f>IFERROR(tblAttendance[[#This Row],[Classes Attended]]/tblAttendance[[#This Row],[Classes Held]],0)</f>
        <v>0.901960784313726</v>
      </c>
      <c r="I4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1" s="80">
        <f>IFERROR(INDEX(tblStudents[Total Marks],MATCH(tblAttendance[[#This Row],[StudentID]],tblStudents[StudentID],0)),"Unknown")</f>
        <v>90</v>
      </c>
      <c r="K41" s="82">
        <f>IF(COUNTIFS(tblAttendance[[#This Row],[Branch]],cAt_B,tblAttendance[[#This Row],[Semester]],cAt_S,tblAttendance[[#This Row],[Year]],cAt_Y)=1,tblAttendance[[#This Row],[Attendance %]]+ROW()/1000000000,"")</f>
        <v>0.901960825313726</v>
      </c>
    </row>
    <row r="42">
      <c r="A42" s="79" t="inlineStr">
        <is>
          <t>STU1038</t>
        </is>
      </c>
      <c r="B42" s="79" t="str">
        <f>IFERROR(INDEX(tblStudents[Student Name],MATCH(tblAttendance[[#This Row],[StudentID]],tblStudents[StudentID],0)),"Unknown")</f>
        <v>Priya Iyer</v>
      </c>
      <c r="C42" s="80" t="str">
        <f>IFERROR(INDEX(tblStudents[Branch],MATCH(tblAttendance[[#This Row],[StudentID]],tblStudents[StudentID],0)),"Unknown")</f>
        <v>ECE</v>
      </c>
      <c r="D42" s="80">
        <f>IFERROR(INDEX(tblStudents[Semester],MATCH(tblAttendance[[#This Row],[StudentID]],tblStudents[StudentID],0)),"Unknown")</f>
        <v>3</v>
      </c>
      <c r="E42" s="80">
        <f>IFERROR(INDEX(tblStudents[Year],MATCH(tblAttendance[[#This Row],[StudentID]],tblStudents[StudentID],0)),"Unknown")</f>
        <v>2023</v>
      </c>
      <c r="F42" s="80" t="n">
        <v>155</v>
      </c>
      <c r="G42" s="80" t="n">
        <v>114</v>
      </c>
      <c r="H42" s="83">
        <f>IFERROR(tblAttendance[[#This Row],[Classes Attended]]/tblAttendance[[#This Row],[Classes Held]],0)</f>
        <v>0.735483870967742</v>
      </c>
      <c r="I42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42" s="80">
        <f>IFERROR(INDEX(tblStudents[Total Marks],MATCH(tblAttendance[[#This Row],[StudentID]],tblStudents[StudentID],0)),"Unknown")</f>
        <v>77</v>
      </c>
      <c r="K42" s="82">
        <f>IF(COUNTIFS(tblAttendance[[#This Row],[Branch]],cAt_B,tblAttendance[[#This Row],[Semester]],cAt_S,tblAttendance[[#This Row],[Year]],cAt_Y)=1,tblAttendance[[#This Row],[Attendance %]]+ROW()/1000000000,"")</f>
        <v>0.735483912967742</v>
      </c>
    </row>
    <row r="43">
      <c r="A43" s="79" t="inlineStr">
        <is>
          <t>STU1039</t>
        </is>
      </c>
      <c r="B43" s="79" t="str">
        <f>IFERROR(INDEX(tblStudents[Student Name],MATCH(tblAttendance[[#This Row],[StudentID]],tblStudents[StudentID],0)),"Unknown")</f>
        <v>Shruti Gupta</v>
      </c>
      <c r="C43" s="80" t="str">
        <f>IFERROR(INDEX(tblStudents[Branch],MATCH(tblAttendance[[#This Row],[StudentID]],tblStudents[StudentID],0)),"Unknown")</f>
        <v>CE</v>
      </c>
      <c r="D43" s="80">
        <f>IFERROR(INDEX(tblStudents[Semester],MATCH(tblAttendance[[#This Row],[StudentID]],tblStudents[StudentID],0)),"Unknown")</f>
        <v>4</v>
      </c>
      <c r="E43" s="80">
        <f>IFERROR(INDEX(tblStudents[Year],MATCH(tblAttendance[[#This Row],[StudentID]],tblStudents[StudentID],0)),"Unknown")</f>
        <v>2024</v>
      </c>
      <c r="F43" s="80" t="n">
        <v>161</v>
      </c>
      <c r="G43" s="80" t="n">
        <v>146</v>
      </c>
      <c r="H43" s="83">
        <f>IFERROR(tblAttendance[[#This Row],[Classes Attended]]/tblAttendance[[#This Row],[Classes Held]],0)</f>
        <v>0.906832298136646</v>
      </c>
      <c r="I4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3" s="80">
        <f>IFERROR(INDEX(tblStudents[Total Marks],MATCH(tblAttendance[[#This Row],[StudentID]],tblStudents[StudentID],0)),"Unknown")</f>
        <v>70</v>
      </c>
      <c r="K43" s="82">
        <f>IF(COUNTIFS(tblAttendance[[#This Row],[Branch]],cAt_B,tblAttendance[[#This Row],[Semester]],cAt_S,tblAttendance[[#This Row],[Year]],cAt_Y)=1,tblAttendance[[#This Row],[Attendance %]]+ROW()/1000000000,"")</f>
        <v>0.906832341136646</v>
      </c>
    </row>
    <row r="44">
      <c r="A44" s="79" t="inlineStr">
        <is>
          <t>STU1040</t>
        </is>
      </c>
      <c r="B44" s="79" t="str">
        <f>IFERROR(INDEX(tblStudents[Student Name],MATCH(tblAttendance[[#This Row],[StudentID]],tblStudents[StudentID],0)),"Unknown")</f>
        <v>Lakshay Das</v>
      </c>
      <c r="C44" s="80" t="str">
        <f>IFERROR(INDEX(tblStudents[Branch],MATCH(tblAttendance[[#This Row],[StudentID]],tblStudents[StudentID],0)),"Unknown")</f>
        <v>IT</v>
      </c>
      <c r="D44" s="80">
        <f>IFERROR(INDEX(tblStudents[Semester],MATCH(tblAttendance[[#This Row],[StudentID]],tblStudents[StudentID],0)),"Unknown")</f>
        <v>6</v>
      </c>
      <c r="E44" s="80">
        <f>IFERROR(INDEX(tblStudents[Year],MATCH(tblAttendance[[#This Row],[StudentID]],tblStudents[StudentID],0)),"Unknown")</f>
        <v>2024</v>
      </c>
      <c r="F44" s="80" t="n">
        <v>174</v>
      </c>
      <c r="G44" s="80" t="n">
        <v>163</v>
      </c>
      <c r="H44" s="83">
        <f>IFERROR(tblAttendance[[#This Row],[Classes Attended]]/tblAttendance[[#This Row],[Classes Held]],0)</f>
        <v>0.936781609195402</v>
      </c>
      <c r="I4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4" s="80">
        <f>IFERROR(INDEX(tblStudents[Total Marks],MATCH(tblAttendance[[#This Row],[StudentID]],tblStudents[StudentID],0)),"Unknown")</f>
        <v>74</v>
      </c>
      <c r="K44" s="82">
        <f>IF(COUNTIFS(tblAttendance[[#This Row],[Branch]],cAt_B,tblAttendance[[#This Row],[Semester]],cAt_S,tblAttendance[[#This Row],[Year]],cAt_Y)=1,tblAttendance[[#This Row],[Attendance %]]+ROW()/1000000000,"")</f>
        <v>0.936781653195402</v>
      </c>
    </row>
    <row r="45">
      <c r="A45" s="79" t="inlineStr">
        <is>
          <t>STU1041</t>
        </is>
      </c>
      <c r="B45" s="79" t="str">
        <f>IFERROR(INDEX(tblStudents[Student Name],MATCH(tblAttendance[[#This Row],[StudentID]],tblStudents[StudentID],0)),"Unknown")</f>
        <v>Vikram Verma</v>
      </c>
      <c r="C45" s="80" t="str">
        <f>IFERROR(INDEX(tblStudents[Branch],MATCH(tblAttendance[[#This Row],[StudentID]],tblStudents[StudentID],0)),"Unknown")</f>
        <v>IT</v>
      </c>
      <c r="D45" s="80">
        <f>IFERROR(INDEX(tblStudents[Semester],MATCH(tblAttendance[[#This Row],[StudentID]],tblStudents[StudentID],0)),"Unknown")</f>
        <v>1</v>
      </c>
      <c r="E45" s="80">
        <f>IFERROR(INDEX(tblStudents[Year],MATCH(tblAttendance[[#This Row],[StudentID]],tblStudents[StudentID],0)),"Unknown")</f>
        <v>2025</v>
      </c>
      <c r="F45" s="80" t="n">
        <v>188</v>
      </c>
      <c r="G45" s="80" t="n">
        <v>153</v>
      </c>
      <c r="H45" s="83">
        <f>IFERROR(tblAttendance[[#This Row],[Classes Attended]]/tblAttendance[[#This Row],[Classes Held]],0)</f>
        <v>0.813829787234043</v>
      </c>
      <c r="I4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45" s="80">
        <f>IFERROR(INDEX(tblStudents[Total Marks],MATCH(tblAttendance[[#This Row],[StudentID]],tblStudents[StudentID],0)),"Unknown")</f>
        <v>72</v>
      </c>
      <c r="K45" s="82">
        <f>IF(COUNTIFS(tblAttendance[[#This Row],[Branch]],cAt_B,tblAttendance[[#This Row],[Semester]],cAt_S,tblAttendance[[#This Row],[Year]],cAt_Y)=1,tblAttendance[[#This Row],[Attendance %]]+ROW()/1000000000,"")</f>
        <v>0.813829832234043</v>
      </c>
    </row>
    <row r="46">
      <c r="A46" s="79" t="inlineStr">
        <is>
          <t>STU1042</t>
        </is>
      </c>
      <c r="B46" s="79" t="str">
        <f>IFERROR(INDEX(tblStudents[Student Name],MATCH(tblAttendance[[#This Row],[StudentID]],tblStudents[StudentID],0)),"Unknown")</f>
        <v>Shubham Banerjee</v>
      </c>
      <c r="C46" s="80" t="str">
        <f>IFERROR(INDEX(tblStudents[Branch],MATCH(tblAttendance[[#This Row],[StudentID]],tblStudents[StudentID],0)),"Unknown")</f>
        <v>CSE</v>
      </c>
      <c r="D46" s="80">
        <f>IFERROR(INDEX(tblStudents[Semester],MATCH(tblAttendance[[#This Row],[StudentID]],tblStudents[StudentID],0)),"Unknown")</f>
        <v>2</v>
      </c>
      <c r="E46" s="80">
        <f>IFERROR(INDEX(tblStudents[Year],MATCH(tblAttendance[[#This Row],[StudentID]],tblStudents[StudentID],0)),"Unknown")</f>
        <v>2026</v>
      </c>
      <c r="F46" s="80" t="n">
        <v>179</v>
      </c>
      <c r="G46" s="80" t="n">
        <v>158</v>
      </c>
      <c r="H46" s="83">
        <f>IFERROR(tblAttendance[[#This Row],[Classes Attended]]/tblAttendance[[#This Row],[Classes Held]],0)</f>
        <v>0.88268156424581</v>
      </c>
      <c r="I4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46" s="80">
        <f>IFERROR(INDEX(tblStudents[Total Marks],MATCH(tblAttendance[[#This Row],[StudentID]],tblStudents[StudentID],0)),"Unknown")</f>
        <v>74</v>
      </c>
      <c r="K46" s="82">
        <f>IF(COUNTIFS(tblAttendance[[#This Row],[Branch]],cAt_B,tblAttendance[[#This Row],[Semester]],cAt_S,tblAttendance[[#This Row],[Year]],cAt_Y)=1,tblAttendance[[#This Row],[Attendance %]]+ROW()/1000000000,"")</f>
        <v>0.88268161024581</v>
      </c>
    </row>
    <row r="47">
      <c r="A47" s="79" t="inlineStr">
        <is>
          <t>STU1043</t>
        </is>
      </c>
      <c r="B47" s="79" t="str">
        <f>IFERROR(INDEX(tblStudents[Student Name],MATCH(tblAttendance[[#This Row],[StudentID]],tblStudents[StudentID],0)),"Unknown")</f>
        <v>Kritika Tiwari</v>
      </c>
      <c r="C47" s="80" t="str">
        <f>IFERROR(INDEX(tblStudents[Branch],MATCH(tblAttendance[[#This Row],[StudentID]],tblStudents[StudentID],0)),"Unknown")</f>
        <v>ME</v>
      </c>
      <c r="D47" s="80">
        <f>IFERROR(INDEX(tblStudents[Semester],MATCH(tblAttendance[[#This Row],[StudentID]],tblStudents[StudentID],0)),"Unknown")</f>
        <v>4</v>
      </c>
      <c r="E47" s="80">
        <f>IFERROR(INDEX(tblStudents[Year],MATCH(tblAttendance[[#This Row],[StudentID]],tblStudents[StudentID],0)),"Unknown")</f>
        <v>2025</v>
      </c>
      <c r="F47" s="80" t="n">
        <v>177</v>
      </c>
      <c r="G47" s="80" t="n">
        <v>142</v>
      </c>
      <c r="H47" s="83">
        <f>IFERROR(tblAttendance[[#This Row],[Classes Attended]]/tblAttendance[[#This Row],[Classes Held]],0)</f>
        <v>0.80225988700565</v>
      </c>
      <c r="I4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47" s="80">
        <f>IFERROR(INDEX(tblStudents[Total Marks],MATCH(tblAttendance[[#This Row],[StudentID]],tblStudents[StudentID],0)),"Unknown")</f>
        <v>56</v>
      </c>
      <c r="K47" s="82">
        <f>IF(COUNTIFS(tblAttendance[[#This Row],[Branch]],cAt_B,tblAttendance[[#This Row],[Semester]],cAt_S,tblAttendance[[#This Row],[Year]],cAt_Y)=1,tblAttendance[[#This Row],[Attendance %]]+ROW()/1000000000,"")</f>
        <v>0.80225993400565</v>
      </c>
    </row>
    <row r="48">
      <c r="A48" s="79" t="inlineStr">
        <is>
          <t>STU1044</t>
        </is>
      </c>
      <c r="B48" s="79" t="str">
        <f>IFERROR(INDEX(tblStudents[Student Name],MATCH(tblAttendance[[#This Row],[StudentID]],tblStudents[StudentID],0)),"Unknown")</f>
        <v>Devansh Malik</v>
      </c>
      <c r="C48" s="80" t="str">
        <f>IFERROR(INDEX(tblStudents[Branch],MATCH(tblAttendance[[#This Row],[StudentID]],tblStudents[StudentID],0)),"Unknown")</f>
        <v>ECE</v>
      </c>
      <c r="D48" s="80">
        <f>IFERROR(INDEX(tblStudents[Semester],MATCH(tblAttendance[[#This Row],[StudentID]],tblStudents[StudentID],0)),"Unknown")</f>
        <v>4</v>
      </c>
      <c r="E48" s="80">
        <f>IFERROR(INDEX(tblStudents[Year],MATCH(tblAttendance[[#This Row],[StudentID]],tblStudents[StudentID],0)),"Unknown")</f>
        <v>2024</v>
      </c>
      <c r="F48" s="80" t="n">
        <v>175</v>
      </c>
      <c r="G48" s="80" t="n">
        <v>161</v>
      </c>
      <c r="H48" s="83">
        <f>IFERROR(tblAttendance[[#This Row],[Classes Attended]]/tblAttendance[[#This Row],[Classes Held]],0)</f>
        <v>0.92</v>
      </c>
      <c r="I4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8" s="80">
        <f>IFERROR(INDEX(tblStudents[Total Marks],MATCH(tblAttendance[[#This Row],[StudentID]],tblStudents[StudentID],0)),"Unknown")</f>
        <v>71</v>
      </c>
      <c r="K48" s="82">
        <f>IF(COUNTIFS(tblAttendance[[#This Row],[Branch]],cAt_B,tblAttendance[[#This Row],[Semester]],cAt_S,tblAttendance[[#This Row],[Year]],cAt_Y)=1,tblAttendance[[#This Row],[Attendance %]]+ROW()/1000000000,"")</f>
        <v>0.920000048</v>
      </c>
    </row>
    <row r="49">
      <c r="A49" s="79" t="inlineStr">
        <is>
          <t>STU1045</t>
        </is>
      </c>
      <c r="B49" s="79" t="str">
        <f>IFERROR(INDEX(tblStudents[Student Name],MATCH(tblAttendance[[#This Row],[StudentID]],tblStudents[StudentID],0)),"Unknown")</f>
        <v>Bhavna Kapoor</v>
      </c>
      <c r="C49" s="80" t="str">
        <f>IFERROR(INDEX(tblStudents[Branch],MATCH(tblAttendance[[#This Row],[StudentID]],tblStudents[StudentID],0)),"Unknown")</f>
        <v>CSE</v>
      </c>
      <c r="D49" s="80">
        <f>IFERROR(INDEX(tblStudents[Semester],MATCH(tblAttendance[[#This Row],[StudentID]],tblStudents[StudentID],0)),"Unknown")</f>
        <v>8</v>
      </c>
      <c r="E49" s="80">
        <f>IFERROR(INDEX(tblStudents[Year],MATCH(tblAttendance[[#This Row],[StudentID]],tblStudents[StudentID],0)),"Unknown")</f>
        <v>2024</v>
      </c>
      <c r="F49" s="80" t="n">
        <v>154</v>
      </c>
      <c r="G49" s="80" t="n">
        <v>150</v>
      </c>
      <c r="H49" s="83">
        <f>IFERROR(tblAttendance[[#This Row],[Classes Attended]]/tblAttendance[[#This Row],[Classes Held]],0)</f>
        <v>0.974025974025974</v>
      </c>
      <c r="I4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49" s="80">
        <f>IFERROR(INDEX(tblStudents[Total Marks],MATCH(tblAttendance[[#This Row],[StudentID]],tblStudents[StudentID],0)),"Unknown")</f>
        <v>84</v>
      </c>
      <c r="K49" s="82">
        <f>IF(COUNTIFS(tblAttendance[[#This Row],[Branch]],cAt_B,tblAttendance[[#This Row],[Semester]],cAt_S,tblAttendance[[#This Row],[Year]],cAt_Y)=1,tblAttendance[[#This Row],[Attendance %]]+ROW()/1000000000,"")</f>
        <v>0.974026023025974</v>
      </c>
    </row>
    <row r="50">
      <c r="A50" s="79" t="inlineStr">
        <is>
          <t>STU1046</t>
        </is>
      </c>
      <c r="B50" s="79" t="str">
        <f>IFERROR(INDEX(tblStudents[Student Name],MATCH(tblAttendance[[#This Row],[StudentID]],tblStudents[StudentID],0)),"Unknown")</f>
        <v>Divya Agarwal</v>
      </c>
      <c r="C50" s="80" t="str">
        <f>IFERROR(INDEX(tblStudents[Branch],MATCH(tblAttendance[[#This Row],[StudentID]],tblStudents[StudentID],0)),"Unknown")</f>
        <v>ECE</v>
      </c>
      <c r="D50" s="80">
        <f>IFERROR(INDEX(tblStudents[Semester],MATCH(tblAttendance[[#This Row],[StudentID]],tblStudents[StudentID],0)),"Unknown")</f>
        <v>3</v>
      </c>
      <c r="E50" s="80">
        <f>IFERROR(INDEX(tblStudents[Year],MATCH(tblAttendance[[#This Row],[StudentID]],tblStudents[StudentID],0)),"Unknown")</f>
        <v>2026</v>
      </c>
      <c r="F50" s="80" t="n">
        <v>174</v>
      </c>
      <c r="G50" s="80" t="n">
        <v>135</v>
      </c>
      <c r="H50" s="83">
        <f>IFERROR(tblAttendance[[#This Row],[Classes Attended]]/tblAttendance[[#This Row],[Classes Held]],0)</f>
        <v>0.775862068965517</v>
      </c>
      <c r="I50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50" s="80">
        <f>IFERROR(INDEX(tblStudents[Total Marks],MATCH(tblAttendance[[#This Row],[StudentID]],tblStudents[StudentID],0)),"Unknown")</f>
        <v>68</v>
      </c>
      <c r="K50" s="82">
        <f>IF(COUNTIFS(tblAttendance[[#This Row],[Branch]],cAt_B,tblAttendance[[#This Row],[Semester]],cAt_S,tblAttendance[[#This Row],[Year]],cAt_Y)=1,tblAttendance[[#This Row],[Attendance %]]+ROW()/1000000000,"")</f>
        <v>0.775862118965517</v>
      </c>
    </row>
    <row r="51">
      <c r="A51" s="79" t="inlineStr">
        <is>
          <t>STU1047</t>
        </is>
      </c>
      <c r="B51" s="79" t="str">
        <f>IFERROR(INDEX(tblStudents[Student Name],MATCH(tblAttendance[[#This Row],[StudentID]],tblStudents[StudentID],0)),"Unknown")</f>
        <v>Tanvi Agarwal</v>
      </c>
      <c r="C51" s="80" t="str">
        <f>IFERROR(INDEX(tblStudents[Branch],MATCH(tblAttendance[[#This Row],[StudentID]],tblStudents[StudentID],0)),"Unknown")</f>
        <v>ME</v>
      </c>
      <c r="D51" s="80">
        <f>IFERROR(INDEX(tblStudents[Semester],MATCH(tblAttendance[[#This Row],[StudentID]],tblStudents[StudentID],0)),"Unknown")</f>
        <v>5</v>
      </c>
      <c r="E51" s="80">
        <f>IFERROR(INDEX(tblStudents[Year],MATCH(tblAttendance[[#This Row],[StudentID]],tblStudents[StudentID],0)),"Unknown")</f>
        <v>2024</v>
      </c>
      <c r="F51" s="80" t="n">
        <v>162</v>
      </c>
      <c r="G51" s="80" t="n">
        <v>122</v>
      </c>
      <c r="H51" s="83">
        <f>IFERROR(tblAttendance[[#This Row],[Classes Attended]]/tblAttendance[[#This Row],[Classes Held]],0)</f>
        <v>0.753086419753086</v>
      </c>
      <c r="I51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51" s="80">
        <f>IFERROR(INDEX(tblStudents[Total Marks],MATCH(tblAttendance[[#This Row],[StudentID]],tblStudents[StudentID],0)),"Unknown")</f>
        <v>65</v>
      </c>
      <c r="K51" s="82">
        <f>IF(COUNTIFS(tblAttendance[[#This Row],[Branch]],cAt_B,tblAttendance[[#This Row],[Semester]],cAt_S,tblAttendance[[#This Row],[Year]],cAt_Y)=1,tblAttendance[[#This Row],[Attendance %]]+ROW()/1000000000,"")</f>
        <v>0.753086470753086</v>
      </c>
    </row>
    <row r="52">
      <c r="A52" s="79" t="inlineStr">
        <is>
          <t>STU1048</t>
        </is>
      </c>
      <c r="B52" s="79" t="str">
        <f>IFERROR(INDEX(tblStudents[Student Name],MATCH(tblAttendance[[#This Row],[StudentID]],tblStudents[StudentID],0)),"Unknown")</f>
        <v>Bhavna Verma</v>
      </c>
      <c r="C52" s="80" t="str">
        <f>IFERROR(INDEX(tblStudents[Branch],MATCH(tblAttendance[[#This Row],[StudentID]],tblStudents[StudentID],0)),"Unknown")</f>
        <v>ME</v>
      </c>
      <c r="D52" s="80">
        <f>IFERROR(INDEX(tblStudents[Semester],MATCH(tblAttendance[[#This Row],[StudentID]],tblStudents[StudentID],0)),"Unknown")</f>
        <v>6</v>
      </c>
      <c r="E52" s="80">
        <f>IFERROR(INDEX(tblStudents[Year],MATCH(tblAttendance[[#This Row],[StudentID]],tblStudents[StudentID],0)),"Unknown")</f>
        <v>2026</v>
      </c>
      <c r="F52" s="80" t="n">
        <v>154</v>
      </c>
      <c r="G52" s="80" t="n">
        <v>118</v>
      </c>
      <c r="H52" s="83">
        <f>IFERROR(tblAttendance[[#This Row],[Classes Attended]]/tblAttendance[[#This Row],[Classes Held]],0)</f>
        <v>0.766233766233766</v>
      </c>
      <c r="I5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52" s="80">
        <f>IFERROR(INDEX(tblStudents[Total Marks],MATCH(tblAttendance[[#This Row],[StudentID]],tblStudents[StudentID],0)),"Unknown")</f>
        <v>62</v>
      </c>
      <c r="K52" s="82">
        <f>IF(COUNTIFS(tblAttendance[[#This Row],[Branch]],cAt_B,tblAttendance[[#This Row],[Semester]],cAt_S,tblAttendance[[#This Row],[Year]],cAt_Y)=1,tblAttendance[[#This Row],[Attendance %]]+ROW()/1000000000,"")</f>
        <v>0.766233818233766</v>
      </c>
    </row>
    <row r="53">
      <c r="A53" s="79" t="inlineStr">
        <is>
          <t>STU1049</t>
        </is>
      </c>
      <c r="B53" s="79" t="str">
        <f>IFERROR(INDEX(tblStudents[Student Name],MATCH(tblAttendance[[#This Row],[StudentID]],tblStudents[StudentID],0)),"Unknown")</f>
        <v>Rajat Rawat</v>
      </c>
      <c r="C53" s="80" t="str">
        <f>IFERROR(INDEX(tblStudents[Branch],MATCH(tblAttendance[[#This Row],[StudentID]],tblStudents[StudentID],0)),"Unknown")</f>
        <v>ME</v>
      </c>
      <c r="D53" s="80">
        <f>IFERROR(INDEX(tblStudents[Semester],MATCH(tblAttendance[[#This Row],[StudentID]],tblStudents[StudentID],0)),"Unknown")</f>
        <v>1</v>
      </c>
      <c r="E53" s="80">
        <f>IFERROR(INDEX(tblStudents[Year],MATCH(tblAttendance[[#This Row],[StudentID]],tblStudents[StudentID],0)),"Unknown")</f>
        <v>2026</v>
      </c>
      <c r="F53" s="80" t="n">
        <v>156</v>
      </c>
      <c r="G53" s="80" t="n">
        <v>113</v>
      </c>
      <c r="H53" s="83">
        <f>IFERROR(tblAttendance[[#This Row],[Classes Attended]]/tblAttendance[[#This Row],[Classes Held]],0)</f>
        <v>0.724358974358974</v>
      </c>
      <c r="I53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53" s="80">
        <f>IFERROR(INDEX(tblStudents[Total Marks],MATCH(tblAttendance[[#This Row],[StudentID]],tblStudents[StudentID],0)),"Unknown")</f>
        <v>61</v>
      </c>
      <c r="K53" s="82">
        <f>IF(COUNTIFS(tblAttendance[[#This Row],[Branch]],cAt_B,tblAttendance[[#This Row],[Semester]],cAt_S,tblAttendance[[#This Row],[Year]],cAt_Y)=1,tblAttendance[[#This Row],[Attendance %]]+ROW()/1000000000,"")</f>
        <v>0.724359027358974</v>
      </c>
    </row>
    <row r="54">
      <c r="A54" s="79" t="inlineStr">
        <is>
          <t>STU1050</t>
        </is>
      </c>
      <c r="B54" s="79" t="str">
        <f>IFERROR(INDEX(tblStudents[Student Name],MATCH(tblAttendance[[#This Row],[StudentID]],tblStudents[StudentID],0)),"Unknown")</f>
        <v>Jhanvi Das</v>
      </c>
      <c r="C54" s="80" t="str">
        <f>IFERROR(INDEX(tblStudents[Branch],MATCH(tblAttendance[[#This Row],[StudentID]],tblStudents[StudentID],0)),"Unknown")</f>
        <v>ECE</v>
      </c>
      <c r="D54" s="80">
        <f>IFERROR(INDEX(tblStudents[Semester],MATCH(tblAttendance[[#This Row],[StudentID]],tblStudents[StudentID],0)),"Unknown")</f>
        <v>1</v>
      </c>
      <c r="E54" s="80">
        <f>IFERROR(INDEX(tblStudents[Year],MATCH(tblAttendance[[#This Row],[StudentID]],tblStudents[StudentID],0)),"Unknown")</f>
        <v>2024</v>
      </c>
      <c r="F54" s="80" t="n">
        <v>186</v>
      </c>
      <c r="G54" s="80" t="n">
        <v>152</v>
      </c>
      <c r="H54" s="83">
        <f>IFERROR(tblAttendance[[#This Row],[Classes Attended]]/tblAttendance[[#This Row],[Classes Held]],0)</f>
        <v>0.817204301075269</v>
      </c>
      <c r="I5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54" s="80">
        <f>IFERROR(INDEX(tblStudents[Total Marks],MATCH(tblAttendance[[#This Row],[StudentID]],tblStudents[StudentID],0)),"Unknown")</f>
        <v>55</v>
      </c>
      <c r="K54" s="82">
        <f>IF(COUNTIFS(tblAttendance[[#This Row],[Branch]],cAt_B,tblAttendance[[#This Row],[Semester]],cAt_S,tblAttendance[[#This Row],[Year]],cAt_Y)=1,tblAttendance[[#This Row],[Attendance %]]+ROW()/1000000000,"")</f>
        <v>0.817204355075269</v>
      </c>
    </row>
    <row r="55">
      <c r="A55" s="79" t="inlineStr">
        <is>
          <t>STU1051</t>
        </is>
      </c>
      <c r="B55" s="79" t="str">
        <f>IFERROR(INDEX(tblStudents[Student Name],MATCH(tblAttendance[[#This Row],[StudentID]],tblStudents[StudentID],0)),"Unknown")</f>
        <v>Diya Srivastava</v>
      </c>
      <c r="C55" s="80" t="str">
        <f>IFERROR(INDEX(tblStudents[Branch],MATCH(tblAttendance[[#This Row],[StudentID]],tblStudents[StudentID],0)),"Unknown")</f>
        <v>CE</v>
      </c>
      <c r="D55" s="80">
        <f>IFERROR(INDEX(tblStudents[Semester],MATCH(tblAttendance[[#This Row],[StudentID]],tblStudents[StudentID],0)),"Unknown")</f>
        <v>5</v>
      </c>
      <c r="E55" s="80">
        <f>IFERROR(INDEX(tblStudents[Year],MATCH(tblAttendance[[#This Row],[StudentID]],tblStudents[StudentID],0)),"Unknown")</f>
        <v>2025</v>
      </c>
      <c r="F55" s="80" t="n">
        <v>151</v>
      </c>
      <c r="G55" s="80" t="n">
        <v>126</v>
      </c>
      <c r="H55" s="83">
        <f>IFERROR(tblAttendance[[#This Row],[Classes Attended]]/tblAttendance[[#This Row],[Classes Held]],0)</f>
        <v>0.834437086092715</v>
      </c>
      <c r="I5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55" s="80">
        <f>IFERROR(INDEX(tblStudents[Total Marks],MATCH(tblAttendance[[#This Row],[StudentID]],tblStudents[StudentID],0)),"Unknown")</f>
        <v>82</v>
      </c>
      <c r="K55" s="82">
        <f>IF(COUNTIFS(tblAttendance[[#This Row],[Branch]],cAt_B,tblAttendance[[#This Row],[Semester]],cAt_S,tblAttendance[[#This Row],[Year]],cAt_Y)=1,tblAttendance[[#This Row],[Attendance %]]+ROW()/1000000000,"")</f>
        <v>0.834437141092715</v>
      </c>
    </row>
    <row r="56">
      <c r="A56" s="79" t="inlineStr">
        <is>
          <t>STU1052</t>
        </is>
      </c>
      <c r="B56" s="79" t="str">
        <f>IFERROR(INDEX(tblStudents[Student Name],MATCH(tblAttendance[[#This Row],[StudentID]],tblStudents[StudentID],0)),"Unknown")</f>
        <v>Meera Shah</v>
      </c>
      <c r="C56" s="80" t="str">
        <f>IFERROR(INDEX(tblStudents[Branch],MATCH(tblAttendance[[#This Row],[StudentID]],tblStudents[StudentID],0)),"Unknown")</f>
        <v>CSE</v>
      </c>
      <c r="D56" s="80">
        <f>IFERROR(INDEX(tblStudents[Semester],MATCH(tblAttendance[[#This Row],[StudentID]],tblStudents[StudentID],0)),"Unknown")</f>
        <v>3</v>
      </c>
      <c r="E56" s="80">
        <f>IFERROR(INDEX(tblStudents[Year],MATCH(tblAttendance[[#This Row],[StudentID]],tblStudents[StudentID],0)),"Unknown")</f>
        <v>2025</v>
      </c>
      <c r="F56" s="80" t="n">
        <v>189</v>
      </c>
      <c r="G56" s="80" t="n">
        <v>164</v>
      </c>
      <c r="H56" s="83">
        <f>IFERROR(tblAttendance[[#This Row],[Classes Attended]]/tblAttendance[[#This Row],[Classes Held]],0)</f>
        <v>0.867724867724868</v>
      </c>
      <c r="I5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56" s="80">
        <f>IFERROR(INDEX(tblStudents[Total Marks],MATCH(tblAttendance[[#This Row],[StudentID]],tblStudents[StudentID],0)),"Unknown")</f>
        <v>78</v>
      </c>
      <c r="K56" s="82">
        <f>IF(COUNTIFS(tblAttendance[[#This Row],[Branch]],cAt_B,tblAttendance[[#This Row],[Semester]],cAt_S,tblAttendance[[#This Row],[Year]],cAt_Y)=1,tblAttendance[[#This Row],[Attendance %]]+ROW()/1000000000,"")</f>
        <v>0.867724923724868</v>
      </c>
    </row>
    <row r="57">
      <c r="A57" s="79" t="inlineStr">
        <is>
          <t>STU1053</t>
        </is>
      </c>
      <c r="B57" s="79" t="str">
        <f>IFERROR(INDEX(tblStudents[Student Name],MATCH(tblAttendance[[#This Row],[StudentID]],tblStudents[StudentID],0)),"Unknown")</f>
        <v>Rahul Verma</v>
      </c>
      <c r="C57" s="80" t="str">
        <f>IFERROR(INDEX(tblStudents[Branch],MATCH(tblAttendance[[#This Row],[StudentID]],tblStudents[StudentID],0)),"Unknown")</f>
        <v>ECE</v>
      </c>
      <c r="D57" s="80">
        <f>IFERROR(INDEX(tblStudents[Semester],MATCH(tblAttendance[[#This Row],[StudentID]],tblStudents[StudentID],0)),"Unknown")</f>
        <v>7</v>
      </c>
      <c r="E57" s="80">
        <f>IFERROR(INDEX(tblStudents[Year],MATCH(tblAttendance[[#This Row],[StudentID]],tblStudents[StudentID],0)),"Unknown")</f>
        <v>2023</v>
      </c>
      <c r="F57" s="80" t="n">
        <v>180</v>
      </c>
      <c r="G57" s="80" t="n">
        <v>173</v>
      </c>
      <c r="H57" s="83">
        <f>IFERROR(tblAttendance[[#This Row],[Classes Attended]]/tblAttendance[[#This Row],[Classes Held]],0)</f>
        <v>0.961111111111111</v>
      </c>
      <c r="I5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57" s="80">
        <f>IFERROR(INDEX(tblStudents[Total Marks],MATCH(tblAttendance[[#This Row],[StudentID]],tblStudents[StudentID],0)),"Unknown")</f>
        <v>94</v>
      </c>
      <c r="K57" s="82">
        <f>IF(COUNTIFS(tblAttendance[[#This Row],[Branch]],cAt_B,tblAttendance[[#This Row],[Semester]],cAt_S,tblAttendance[[#This Row],[Year]],cAt_Y)=1,tblAttendance[[#This Row],[Attendance %]]+ROW()/1000000000,"")</f>
        <v>0.961111168111111</v>
      </c>
    </row>
    <row r="58">
      <c r="A58" s="79" t="inlineStr">
        <is>
          <t>STU1054</t>
        </is>
      </c>
      <c r="B58" s="79" t="str">
        <f>IFERROR(INDEX(tblStudents[Student Name],MATCH(tblAttendance[[#This Row],[StudentID]],tblStudents[StudentID],0)),"Unknown")</f>
        <v>Sakshi Rawat</v>
      </c>
      <c r="C58" s="80" t="str">
        <f>IFERROR(INDEX(tblStudents[Branch],MATCH(tblAttendance[[#This Row],[StudentID]],tblStudents[StudentID],0)),"Unknown")</f>
        <v>ECE</v>
      </c>
      <c r="D58" s="80">
        <f>IFERROR(INDEX(tblStudents[Semester],MATCH(tblAttendance[[#This Row],[StudentID]],tblStudents[StudentID],0)),"Unknown")</f>
        <v>8</v>
      </c>
      <c r="E58" s="80">
        <f>IFERROR(INDEX(tblStudents[Year],MATCH(tblAttendance[[#This Row],[StudentID]],tblStudents[StudentID],0)),"Unknown")</f>
        <v>2025</v>
      </c>
      <c r="F58" s="80" t="n">
        <v>186</v>
      </c>
      <c r="G58" s="80" t="n">
        <v>144</v>
      </c>
      <c r="H58" s="83">
        <f>IFERROR(tblAttendance[[#This Row],[Classes Attended]]/tblAttendance[[#This Row],[Classes Held]],0)</f>
        <v>0.774193548387097</v>
      </c>
      <c r="I58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58" s="80">
        <f>IFERROR(INDEX(tblStudents[Total Marks],MATCH(tblAttendance[[#This Row],[StudentID]],tblStudents[StudentID],0)),"Unknown")</f>
        <v>64</v>
      </c>
      <c r="K58" s="82">
        <f>IF(COUNTIFS(tblAttendance[[#This Row],[Branch]],cAt_B,tblAttendance[[#This Row],[Semester]],cAt_S,tblAttendance[[#This Row],[Year]],cAt_Y)=1,tblAttendance[[#This Row],[Attendance %]]+ROW()/1000000000,"")</f>
        <v>0.774193606387097</v>
      </c>
    </row>
    <row r="59">
      <c r="A59" s="79" t="inlineStr">
        <is>
          <t>STU1055</t>
        </is>
      </c>
      <c r="B59" s="79" t="str">
        <f>IFERROR(INDEX(tblStudents[Student Name],MATCH(tblAttendance[[#This Row],[StudentID]],tblStudents[StudentID],0)),"Unknown")</f>
        <v>Riya Verma</v>
      </c>
      <c r="C59" s="80" t="str">
        <f>IFERROR(INDEX(tblStudents[Branch],MATCH(tblAttendance[[#This Row],[StudentID]],tblStudents[StudentID],0)),"Unknown")</f>
        <v>ME</v>
      </c>
      <c r="D59" s="80">
        <f>IFERROR(INDEX(tblStudents[Semester],MATCH(tblAttendance[[#This Row],[StudentID]],tblStudents[StudentID],0)),"Unknown")</f>
        <v>6</v>
      </c>
      <c r="E59" s="80">
        <f>IFERROR(INDEX(tblStudents[Year],MATCH(tblAttendance[[#This Row],[StudentID]],tblStudents[StudentID],0)),"Unknown")</f>
        <v>2025</v>
      </c>
      <c r="F59" s="80" t="n">
        <v>179</v>
      </c>
      <c r="G59" s="80" t="n">
        <v>137</v>
      </c>
      <c r="H59" s="83">
        <f>IFERROR(tblAttendance[[#This Row],[Classes Attended]]/tblAttendance[[#This Row],[Classes Held]],0)</f>
        <v>0.76536312849162</v>
      </c>
      <c r="I59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59" s="80">
        <f>IFERROR(INDEX(tblStudents[Total Marks],MATCH(tblAttendance[[#This Row],[StudentID]],tblStudents[StudentID],0)),"Unknown")</f>
        <v>65</v>
      </c>
      <c r="K59" s="82">
        <f>IF(COUNTIFS(tblAttendance[[#This Row],[Branch]],cAt_B,tblAttendance[[#This Row],[Semester]],cAt_S,tblAttendance[[#This Row],[Year]],cAt_Y)=1,tblAttendance[[#This Row],[Attendance %]]+ROW()/1000000000,"")</f>
        <v>0.76536318749162</v>
      </c>
    </row>
    <row r="60">
      <c r="A60" s="79" t="inlineStr">
        <is>
          <t>STU1056</t>
        </is>
      </c>
      <c r="B60" s="79" t="str">
        <f>IFERROR(INDEX(tblStudents[Student Name],MATCH(tblAttendance[[#This Row],[StudentID]],tblStudents[StudentID],0)),"Unknown")</f>
        <v>Divya Dubey</v>
      </c>
      <c r="C60" s="80" t="str">
        <f>IFERROR(INDEX(tblStudents[Branch],MATCH(tblAttendance[[#This Row],[StudentID]],tblStudents[StudentID],0)),"Unknown")</f>
        <v>CSE</v>
      </c>
      <c r="D60" s="80">
        <f>IFERROR(INDEX(tblStudents[Semester],MATCH(tblAttendance[[#This Row],[StudentID]],tblStudents[StudentID],0)),"Unknown")</f>
        <v>7</v>
      </c>
      <c r="E60" s="80">
        <f>IFERROR(INDEX(tblStudents[Year],MATCH(tblAttendance[[#This Row],[StudentID]],tblStudents[StudentID],0)),"Unknown")</f>
        <v>2023</v>
      </c>
      <c r="F60" s="80" t="n">
        <v>168</v>
      </c>
      <c r="G60" s="80" t="n">
        <v>119</v>
      </c>
      <c r="H60" s="83">
        <f>IFERROR(tblAttendance[[#This Row],[Classes Attended]]/tblAttendance[[#This Row],[Classes Held]],0)</f>
        <v>0.708333333333333</v>
      </c>
      <c r="I6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60" s="80">
        <f>IFERROR(INDEX(tblStudents[Total Marks],MATCH(tblAttendance[[#This Row],[StudentID]],tblStudents[StudentID],0)),"Unknown")</f>
        <v>73</v>
      </c>
      <c r="K60" s="82">
        <f>IF(COUNTIFS(tblAttendance[[#This Row],[Branch]],cAt_B,tblAttendance[[#This Row],[Semester]],cAt_S,tblAttendance[[#This Row],[Year]],cAt_Y)=1,tblAttendance[[#This Row],[Attendance %]]+ROW()/1000000000,"")</f>
        <v>0.708333393333333</v>
      </c>
    </row>
    <row r="61">
      <c r="A61" s="79" t="inlineStr">
        <is>
          <t>STU1057</t>
        </is>
      </c>
      <c r="B61" s="79" t="str">
        <f>IFERROR(INDEX(tblStudents[Student Name],MATCH(tblAttendance[[#This Row],[StudentID]],tblStudents[StudentID],0)),"Unknown")</f>
        <v>Jhanvi Garg</v>
      </c>
      <c r="C61" s="80" t="str">
        <f>IFERROR(INDEX(tblStudents[Branch],MATCH(tblAttendance[[#This Row],[StudentID]],tblStudents[StudentID],0)),"Unknown")</f>
        <v>CSE</v>
      </c>
      <c r="D61" s="80">
        <f>IFERROR(INDEX(tblStudents[Semester],MATCH(tblAttendance[[#This Row],[StudentID]],tblStudents[StudentID],0)),"Unknown")</f>
        <v>6</v>
      </c>
      <c r="E61" s="80">
        <f>IFERROR(INDEX(tblStudents[Year],MATCH(tblAttendance[[#This Row],[StudentID]],tblStudents[StudentID],0)),"Unknown")</f>
        <v>2026</v>
      </c>
      <c r="F61" s="80" t="n">
        <v>158</v>
      </c>
      <c r="G61" s="80" t="n">
        <v>120</v>
      </c>
      <c r="H61" s="83">
        <f>IFERROR(tblAttendance[[#This Row],[Classes Attended]]/tblAttendance[[#This Row],[Classes Held]],0)</f>
        <v>0.759493670886076</v>
      </c>
      <c r="I61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61" s="80">
        <f>IFERROR(INDEX(tblStudents[Total Marks],MATCH(tblAttendance[[#This Row],[StudentID]],tblStudents[StudentID],0)),"Unknown")</f>
        <v>77</v>
      </c>
      <c r="K61" s="82">
        <f>IF(COUNTIFS(tblAttendance[[#This Row],[Branch]],cAt_B,tblAttendance[[#This Row],[Semester]],cAt_S,tblAttendance[[#This Row],[Year]],cAt_Y)=1,tblAttendance[[#This Row],[Attendance %]]+ROW()/1000000000,"")</f>
        <v>0.759493731886076</v>
      </c>
    </row>
    <row r="62">
      <c r="A62" s="79" t="inlineStr">
        <is>
          <t>STU1058</t>
        </is>
      </c>
      <c r="B62" s="79" t="str">
        <f>IFERROR(INDEX(tblStudents[Student Name],MATCH(tblAttendance[[#This Row],[StudentID]],tblStudents[StudentID],0)),"Unknown")</f>
        <v>Deepak Khan</v>
      </c>
      <c r="C62" s="80" t="str">
        <f>IFERROR(INDEX(tblStudents[Branch],MATCH(tblAttendance[[#This Row],[StudentID]],tblStudents[StudentID],0)),"Unknown")</f>
        <v>ME</v>
      </c>
      <c r="D62" s="80">
        <f>IFERROR(INDEX(tblStudents[Semester],MATCH(tblAttendance[[#This Row],[StudentID]],tblStudents[StudentID],0)),"Unknown")</f>
        <v>7</v>
      </c>
      <c r="E62" s="80">
        <f>IFERROR(INDEX(tblStudents[Year],MATCH(tblAttendance[[#This Row],[StudentID]],tblStudents[StudentID],0)),"Unknown")</f>
        <v>2023</v>
      </c>
      <c r="F62" s="80" t="n">
        <v>169</v>
      </c>
      <c r="G62" s="80" t="n">
        <v>116</v>
      </c>
      <c r="H62" s="83">
        <f>IFERROR(tblAttendance[[#This Row],[Classes Attended]]/tblAttendance[[#This Row],[Classes Held]],0)</f>
        <v>0.686390532544379</v>
      </c>
      <c r="I62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62" s="80">
        <f>IFERROR(INDEX(tblStudents[Total Marks],MATCH(tblAttendance[[#This Row],[StudentID]],tblStudents[StudentID],0)),"Unknown")</f>
        <v>55</v>
      </c>
      <c r="K62" s="82">
        <f>IF(COUNTIFS(tblAttendance[[#This Row],[Branch]],cAt_B,tblAttendance[[#This Row],[Semester]],cAt_S,tblAttendance[[#This Row],[Year]],cAt_Y)=1,tblAttendance[[#This Row],[Attendance %]]+ROW()/1000000000,"")</f>
        <v>0.686390594544379</v>
      </c>
    </row>
    <row r="63">
      <c r="A63" s="79" t="inlineStr">
        <is>
          <t>STU1059</t>
        </is>
      </c>
      <c r="B63" s="79" t="str">
        <f>IFERROR(INDEX(tblStudents[Student Name],MATCH(tblAttendance[[#This Row],[StudentID]],tblStudents[StudentID],0)),"Unknown")</f>
        <v>Rajat Chatterjee</v>
      </c>
      <c r="C63" s="80" t="str">
        <f>IFERROR(INDEX(tblStudents[Branch],MATCH(tblAttendance[[#This Row],[StudentID]],tblStudents[StudentID],0)),"Unknown")</f>
        <v>IT</v>
      </c>
      <c r="D63" s="80">
        <f>IFERROR(INDEX(tblStudents[Semester],MATCH(tblAttendance[[#This Row],[StudentID]],tblStudents[StudentID],0)),"Unknown")</f>
        <v>3</v>
      </c>
      <c r="E63" s="80">
        <f>IFERROR(INDEX(tblStudents[Year],MATCH(tblAttendance[[#This Row],[StudentID]],tblStudents[StudentID],0)),"Unknown")</f>
        <v>2024</v>
      </c>
      <c r="F63" s="80" t="n">
        <v>150</v>
      </c>
      <c r="G63" s="80" t="n">
        <v>120</v>
      </c>
      <c r="H63" s="83">
        <f>IFERROR(tblAttendance[[#This Row],[Classes Attended]]/tblAttendance[[#This Row],[Classes Held]],0)</f>
        <v>0.8</v>
      </c>
      <c r="I6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63" s="80">
        <f>IFERROR(INDEX(tblStudents[Total Marks],MATCH(tblAttendance[[#This Row],[StudentID]],tblStudents[StudentID],0)),"Unknown")</f>
        <v>75</v>
      </c>
      <c r="K63" s="82">
        <f>IF(COUNTIFS(tblAttendance[[#This Row],[Branch]],cAt_B,tblAttendance[[#This Row],[Semester]],cAt_S,tblAttendance[[#This Row],[Year]],cAt_Y)=1,tblAttendance[[#This Row],[Attendance %]]+ROW()/1000000000,"")</f>
        <v>0.800000063</v>
      </c>
    </row>
    <row r="64">
      <c r="A64" s="79" t="inlineStr">
        <is>
          <t>STU1060</t>
        </is>
      </c>
      <c r="B64" s="79" t="str">
        <f>IFERROR(INDEX(tblStudents[Student Name],MATCH(tblAttendance[[#This Row],[StudentID]],tblStudents[StudentID],0)),"Unknown")</f>
        <v>Khushi Iyer</v>
      </c>
      <c r="C64" s="80" t="str">
        <f>IFERROR(INDEX(tblStudents[Branch],MATCH(tblAttendance[[#This Row],[StudentID]],tblStudents[StudentID],0)),"Unknown")</f>
        <v>ME</v>
      </c>
      <c r="D64" s="80">
        <f>IFERROR(INDEX(tblStudents[Semester],MATCH(tblAttendance[[#This Row],[StudentID]],tblStudents[StudentID],0)),"Unknown")</f>
        <v>4</v>
      </c>
      <c r="E64" s="80">
        <f>IFERROR(INDEX(tblStudents[Year],MATCH(tblAttendance[[#This Row],[StudentID]],tblStudents[StudentID],0)),"Unknown")</f>
        <v>2024</v>
      </c>
      <c r="F64" s="80" t="n">
        <v>152</v>
      </c>
      <c r="G64" s="80" t="n">
        <v>126</v>
      </c>
      <c r="H64" s="83">
        <f>IFERROR(tblAttendance[[#This Row],[Classes Attended]]/tblAttendance[[#This Row],[Classes Held]],0)</f>
        <v>0.828947368421053</v>
      </c>
      <c r="I6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64" s="80">
        <f>IFERROR(INDEX(tblStudents[Total Marks],MATCH(tblAttendance[[#This Row],[StudentID]],tblStudents[StudentID],0)),"Unknown")</f>
        <v>47</v>
      </c>
      <c r="K64" s="82">
        <f>IF(COUNTIFS(tblAttendance[[#This Row],[Branch]],cAt_B,tblAttendance[[#This Row],[Semester]],cAt_S,tblAttendance[[#This Row],[Year]],cAt_Y)=1,tblAttendance[[#This Row],[Attendance %]]+ROW()/1000000000,"")</f>
        <v>0.828947432421053</v>
      </c>
    </row>
    <row r="65">
      <c r="A65" s="79" t="inlineStr">
        <is>
          <t>STU1061</t>
        </is>
      </c>
      <c r="B65" s="79" t="str">
        <f>IFERROR(INDEX(tblStudents[Student Name],MATCH(tblAttendance[[#This Row],[StudentID]],tblStudents[StudentID],0)),"Unknown")</f>
        <v>Siddharth Thakur</v>
      </c>
      <c r="C65" s="80" t="str">
        <f>IFERROR(INDEX(tblStudents[Branch],MATCH(tblAttendance[[#This Row],[StudentID]],tblStudents[StudentID],0)),"Unknown")</f>
        <v>CSE</v>
      </c>
      <c r="D65" s="80">
        <f>IFERROR(INDEX(tblStudents[Semester],MATCH(tblAttendance[[#This Row],[StudentID]],tblStudents[StudentID],0)),"Unknown")</f>
        <v>1</v>
      </c>
      <c r="E65" s="80">
        <f>IFERROR(INDEX(tblStudents[Year],MATCH(tblAttendance[[#This Row],[StudentID]],tblStudents[StudentID],0)),"Unknown")</f>
        <v>2025</v>
      </c>
      <c r="F65" s="80" t="n">
        <v>185</v>
      </c>
      <c r="G65" s="80" t="n">
        <v>158</v>
      </c>
      <c r="H65" s="83">
        <f>IFERROR(tblAttendance[[#This Row],[Classes Attended]]/tblAttendance[[#This Row],[Classes Held]],0)</f>
        <v>0.854054054054054</v>
      </c>
      <c r="I6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65" s="80">
        <f>IFERROR(INDEX(tblStudents[Total Marks],MATCH(tblAttendance[[#This Row],[StudentID]],tblStudents[StudentID],0)),"Unknown")</f>
        <v>74</v>
      </c>
      <c r="K65" s="82">
        <f>IF(COUNTIFS(tblAttendance[[#This Row],[Branch]],cAt_B,tblAttendance[[#This Row],[Semester]],cAt_S,tblAttendance[[#This Row],[Year]],cAt_Y)=1,tblAttendance[[#This Row],[Attendance %]]+ROW()/1000000000,"")</f>
        <v>0.854054119054054</v>
      </c>
    </row>
    <row r="66">
      <c r="A66" s="79" t="inlineStr">
        <is>
          <t>STU1062</t>
        </is>
      </c>
      <c r="B66" s="79" t="str">
        <f>IFERROR(INDEX(tblStudents[Student Name],MATCH(tblAttendance[[#This Row],[StudentID]],tblStudents[StudentID],0)),"Unknown")</f>
        <v>Riya Shah</v>
      </c>
      <c r="C66" s="80" t="str">
        <f>IFERROR(INDEX(tblStudents[Branch],MATCH(tblAttendance[[#This Row],[StudentID]],tblStudents[StudentID],0)),"Unknown")</f>
        <v>CSE</v>
      </c>
      <c r="D66" s="80">
        <f>IFERROR(INDEX(tblStudents[Semester],MATCH(tblAttendance[[#This Row],[StudentID]],tblStudents[StudentID],0)),"Unknown")</f>
        <v>1</v>
      </c>
      <c r="E66" s="80">
        <f>IFERROR(INDEX(tblStudents[Year],MATCH(tblAttendance[[#This Row],[StudentID]],tblStudents[StudentID],0)),"Unknown")</f>
        <v>2024</v>
      </c>
      <c r="F66" s="80" t="n">
        <v>169</v>
      </c>
      <c r="G66" s="80" t="n">
        <v>150</v>
      </c>
      <c r="H66" s="83">
        <f>IFERROR(tblAttendance[[#This Row],[Classes Attended]]/tblAttendance[[#This Row],[Classes Held]],0)</f>
        <v>0.887573964497041</v>
      </c>
      <c r="I6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66" s="80">
        <f>IFERROR(INDEX(tblStudents[Total Marks],MATCH(tblAttendance[[#This Row],[StudentID]],tblStudents[StudentID],0)),"Unknown")</f>
        <v>73</v>
      </c>
      <c r="K66" s="82">
        <f>IF(COUNTIFS(tblAttendance[[#This Row],[Branch]],cAt_B,tblAttendance[[#This Row],[Semester]],cAt_S,tblAttendance[[#This Row],[Year]],cAt_Y)=1,tblAttendance[[#This Row],[Attendance %]]+ROW()/1000000000,"")</f>
        <v>0.887574030497041</v>
      </c>
    </row>
    <row r="67">
      <c r="A67" s="79" t="inlineStr">
        <is>
          <t>STU1063</t>
        </is>
      </c>
      <c r="B67" s="79" t="str">
        <f>IFERROR(INDEX(tblStudents[Student Name],MATCH(tblAttendance[[#This Row],[StudentID]],tblStudents[StudentID],0)),"Unknown")</f>
        <v>Mohit Rastogi</v>
      </c>
      <c r="C67" s="80" t="str">
        <f>IFERROR(INDEX(tblStudents[Branch],MATCH(tblAttendance[[#This Row],[StudentID]],tblStudents[StudentID],0)),"Unknown")</f>
        <v>ME</v>
      </c>
      <c r="D67" s="80">
        <f>IFERROR(INDEX(tblStudents[Semester],MATCH(tblAttendance[[#This Row],[StudentID]],tblStudents[StudentID],0)),"Unknown")</f>
        <v>2</v>
      </c>
      <c r="E67" s="80">
        <f>IFERROR(INDEX(tblStudents[Year],MATCH(tblAttendance[[#This Row],[StudentID]],tblStudents[StudentID],0)),"Unknown")</f>
        <v>2026</v>
      </c>
      <c r="F67" s="80" t="n">
        <v>185</v>
      </c>
      <c r="G67" s="80" t="n">
        <v>136</v>
      </c>
      <c r="H67" s="83">
        <f>IFERROR(tblAttendance[[#This Row],[Classes Attended]]/tblAttendance[[#This Row],[Classes Held]],0)</f>
        <v>0.735135135135135</v>
      </c>
      <c r="I67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67" s="80">
        <f>IFERROR(INDEX(tblStudents[Total Marks],MATCH(tblAttendance[[#This Row],[StudentID]],tblStudents[StudentID],0)),"Unknown")</f>
        <v>61</v>
      </c>
      <c r="K67" s="82">
        <f>IF(COUNTIFS(tblAttendance[[#This Row],[Branch]],cAt_B,tblAttendance[[#This Row],[Semester]],cAt_S,tblAttendance[[#This Row],[Year]],cAt_Y)=1,tblAttendance[[#This Row],[Attendance %]]+ROW()/1000000000,"")</f>
        <v>0.735135202135135</v>
      </c>
    </row>
    <row r="68">
      <c r="A68" s="79" t="inlineStr">
        <is>
          <t>STU1064</t>
        </is>
      </c>
      <c r="B68" s="79" t="str">
        <f>IFERROR(INDEX(tblStudents[Student Name],MATCH(tblAttendance[[#This Row],[StudentID]],tblStudents[StudentID],0)),"Unknown")</f>
        <v>Ananya Singh</v>
      </c>
      <c r="C68" s="80" t="str">
        <f>IFERROR(INDEX(tblStudents[Branch],MATCH(tblAttendance[[#This Row],[StudentID]],tblStudents[StudentID],0)),"Unknown")</f>
        <v>CSE</v>
      </c>
      <c r="D68" s="80">
        <f>IFERROR(INDEX(tblStudents[Semester],MATCH(tblAttendance[[#This Row],[StudentID]],tblStudents[StudentID],0)),"Unknown")</f>
        <v>5</v>
      </c>
      <c r="E68" s="80">
        <f>IFERROR(INDEX(tblStudents[Year],MATCH(tblAttendance[[#This Row],[StudentID]],tblStudents[StudentID],0)),"Unknown")</f>
        <v>2025</v>
      </c>
      <c r="F68" s="80" t="n">
        <v>151</v>
      </c>
      <c r="G68" s="80" t="n">
        <v>110</v>
      </c>
      <c r="H68" s="83">
        <f>IFERROR(tblAttendance[[#This Row],[Classes Attended]]/tblAttendance[[#This Row],[Classes Held]],0)</f>
        <v>0.728476821192053</v>
      </c>
      <c r="I68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68" s="80">
        <f>IFERROR(INDEX(tblStudents[Total Marks],MATCH(tblAttendance[[#This Row],[StudentID]],tblStudents[StudentID],0)),"Unknown")</f>
        <v>65</v>
      </c>
      <c r="K68" s="82">
        <f>IF(COUNTIFS(tblAttendance[[#This Row],[Branch]],cAt_B,tblAttendance[[#This Row],[Semester]],cAt_S,tblAttendance[[#This Row],[Year]],cAt_Y)=1,tblAttendance[[#This Row],[Attendance %]]+ROW()/1000000000,"")</f>
        <v>0.728476889192053</v>
      </c>
    </row>
    <row r="69">
      <c r="A69" s="79" t="inlineStr">
        <is>
          <t>STU1065</t>
        </is>
      </c>
      <c r="B69" s="79" t="str">
        <f>IFERROR(INDEX(tblStudents[Student Name],MATCH(tblAttendance[[#This Row],[StudentID]],tblStudents[StudentID],0)),"Unknown")</f>
        <v>Rajat Patel</v>
      </c>
      <c r="C69" s="80" t="str">
        <f>IFERROR(INDEX(tblStudents[Branch],MATCH(tblAttendance[[#This Row],[StudentID]],tblStudents[StudentID],0)),"Unknown")</f>
        <v>CSE</v>
      </c>
      <c r="D69" s="80">
        <f>IFERROR(INDEX(tblStudents[Semester],MATCH(tblAttendance[[#This Row],[StudentID]],tblStudents[StudentID],0)),"Unknown")</f>
        <v>3</v>
      </c>
      <c r="E69" s="80">
        <f>IFERROR(INDEX(tblStudents[Year],MATCH(tblAttendance[[#This Row],[StudentID]],tblStudents[StudentID],0)),"Unknown")</f>
        <v>2024</v>
      </c>
      <c r="F69" s="80" t="n">
        <v>176</v>
      </c>
      <c r="G69" s="80" t="n">
        <v>143</v>
      </c>
      <c r="H69" s="83">
        <f>IFERROR(tblAttendance[[#This Row],[Classes Attended]]/tblAttendance[[#This Row],[Classes Held]],0)</f>
        <v>0.8125</v>
      </c>
      <c r="I6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69" s="80">
        <f>IFERROR(INDEX(tblStudents[Total Marks],MATCH(tblAttendance[[#This Row],[StudentID]],tblStudents[StudentID],0)),"Unknown")</f>
        <v>85</v>
      </c>
      <c r="K69" s="82">
        <f>IF(COUNTIFS(tblAttendance[[#This Row],[Branch]],cAt_B,tblAttendance[[#This Row],[Semester]],cAt_S,tblAttendance[[#This Row],[Year]],cAt_Y)=1,tblAttendance[[#This Row],[Attendance %]]+ROW()/1000000000,"")</f>
        <v>0.812500069</v>
      </c>
    </row>
    <row r="70">
      <c r="A70" s="79" t="inlineStr">
        <is>
          <t>STU1066</t>
        </is>
      </c>
      <c r="B70" s="79" t="str">
        <f>IFERROR(INDEX(tblStudents[Student Name],MATCH(tblAttendance[[#This Row],[StudentID]],tblStudents[StudentID],0)),"Unknown")</f>
        <v>Ritika Shah</v>
      </c>
      <c r="C70" s="80" t="str">
        <f>IFERROR(INDEX(tblStudents[Branch],MATCH(tblAttendance[[#This Row],[StudentID]],tblStudents[StudentID],0)),"Unknown")</f>
        <v>IT</v>
      </c>
      <c r="D70" s="80">
        <f>IFERROR(INDEX(tblStudents[Semester],MATCH(tblAttendance[[#This Row],[StudentID]],tblStudents[StudentID],0)),"Unknown")</f>
        <v>4</v>
      </c>
      <c r="E70" s="80">
        <f>IFERROR(INDEX(tblStudents[Year],MATCH(tblAttendance[[#This Row],[StudentID]],tblStudents[StudentID],0)),"Unknown")</f>
        <v>2025</v>
      </c>
      <c r="F70" s="80" t="n">
        <v>188</v>
      </c>
      <c r="G70" s="80" t="n">
        <v>157</v>
      </c>
      <c r="H70" s="83">
        <f>IFERROR(tblAttendance[[#This Row],[Classes Attended]]/tblAttendance[[#This Row],[Classes Held]],0)</f>
        <v>0.835106382978723</v>
      </c>
      <c r="I70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70" s="80">
        <f>IFERROR(INDEX(tblStudents[Total Marks],MATCH(tblAttendance[[#This Row],[StudentID]],tblStudents[StudentID],0)),"Unknown")</f>
        <v>69</v>
      </c>
      <c r="K70" s="82">
        <f>IF(COUNTIFS(tblAttendance[[#This Row],[Branch]],cAt_B,tblAttendance[[#This Row],[Semester]],cAt_S,tblAttendance[[#This Row],[Year]],cAt_Y)=1,tblAttendance[[#This Row],[Attendance %]]+ROW()/1000000000,"")</f>
        <v>0.835106452978723</v>
      </c>
    </row>
    <row r="71">
      <c r="A71" s="79" t="inlineStr">
        <is>
          <t>STU1067</t>
        </is>
      </c>
      <c r="B71" s="79" t="str">
        <f>IFERROR(INDEX(tblStudents[Student Name],MATCH(tblAttendance[[#This Row],[StudentID]],tblStudents[StudentID],0)),"Unknown")</f>
        <v>Pooja Srivastava</v>
      </c>
      <c r="C71" s="80" t="str">
        <f>IFERROR(INDEX(tblStudents[Branch],MATCH(tblAttendance[[#This Row],[StudentID]],tblStudents[StudentID],0)),"Unknown")</f>
        <v>CE</v>
      </c>
      <c r="D71" s="80">
        <f>IFERROR(INDEX(tblStudents[Semester],MATCH(tblAttendance[[#This Row],[StudentID]],tblStudents[StudentID],0)),"Unknown")</f>
        <v>2</v>
      </c>
      <c r="E71" s="80">
        <f>IFERROR(INDEX(tblStudents[Year],MATCH(tblAttendance[[#This Row],[StudentID]],tblStudents[StudentID],0)),"Unknown")</f>
        <v>2023</v>
      </c>
      <c r="F71" s="80" t="n">
        <v>152</v>
      </c>
      <c r="G71" s="80" t="n">
        <v>114</v>
      </c>
      <c r="H71" s="83">
        <f>IFERROR(tblAttendance[[#This Row],[Classes Attended]]/tblAttendance[[#This Row],[Classes Held]],0)</f>
        <v>0.75</v>
      </c>
      <c r="I71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71" s="80">
        <f>IFERROR(INDEX(tblStudents[Total Marks],MATCH(tblAttendance[[#This Row],[StudentID]],tblStudents[StudentID],0)),"Unknown")</f>
        <v>56</v>
      </c>
      <c r="K71" s="82">
        <f>IF(COUNTIFS(tblAttendance[[#This Row],[Branch]],cAt_B,tblAttendance[[#This Row],[Semester]],cAt_S,tblAttendance[[#This Row],[Year]],cAt_Y)=1,tblAttendance[[#This Row],[Attendance %]]+ROW()/1000000000,"")</f>
        <v>0.750000071</v>
      </c>
    </row>
    <row r="72">
      <c r="A72" s="79" t="inlineStr">
        <is>
          <t>STU1068</t>
        </is>
      </c>
      <c r="B72" s="79" t="str">
        <f>IFERROR(INDEX(tblStudents[Student Name],MATCH(tblAttendance[[#This Row],[StudentID]],tblStudents[StudentID],0)),"Unknown")</f>
        <v>Swati Patel</v>
      </c>
      <c r="C72" s="80" t="str">
        <f>IFERROR(INDEX(tblStudents[Branch],MATCH(tblAttendance[[#This Row],[StudentID]],tblStudents[StudentID],0)),"Unknown")</f>
        <v>CSE</v>
      </c>
      <c r="D72" s="80">
        <f>IFERROR(INDEX(tblStudents[Semester],MATCH(tblAttendance[[#This Row],[StudentID]],tblStudents[StudentID],0)),"Unknown")</f>
        <v>3</v>
      </c>
      <c r="E72" s="80">
        <f>IFERROR(INDEX(tblStudents[Year],MATCH(tblAttendance[[#This Row],[StudentID]],tblStudents[StudentID],0)),"Unknown")</f>
        <v>2025</v>
      </c>
      <c r="F72" s="80" t="n">
        <v>169</v>
      </c>
      <c r="G72" s="80" t="n">
        <v>135</v>
      </c>
      <c r="H72" s="83">
        <f>IFERROR(tblAttendance[[#This Row],[Classes Attended]]/tblAttendance[[#This Row],[Classes Held]],0)</f>
        <v>0.798816568047337</v>
      </c>
      <c r="I7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72" s="80">
        <f>IFERROR(INDEX(tblStudents[Total Marks],MATCH(tblAttendance[[#This Row],[StudentID]],tblStudents[StudentID],0)),"Unknown")</f>
        <v>46</v>
      </c>
      <c r="K72" s="82">
        <f>IF(COUNTIFS(tblAttendance[[#This Row],[Branch]],cAt_B,tblAttendance[[#This Row],[Semester]],cAt_S,tblAttendance[[#This Row],[Year]],cAt_Y)=1,tblAttendance[[#This Row],[Attendance %]]+ROW()/1000000000,"")</f>
        <v>0.798816640047337</v>
      </c>
    </row>
    <row r="73">
      <c r="A73" s="79" t="inlineStr">
        <is>
          <t>STU1069</t>
        </is>
      </c>
      <c r="B73" s="79" t="str">
        <f>IFERROR(INDEX(tblStudents[Student Name],MATCH(tblAttendance[[#This Row],[StudentID]],tblStudents[StudentID],0)),"Unknown")</f>
        <v>Simran Rawat</v>
      </c>
      <c r="C73" s="80" t="str">
        <f>IFERROR(INDEX(tblStudents[Branch],MATCH(tblAttendance[[#This Row],[StudentID]],tblStudents[StudentID],0)),"Unknown")</f>
        <v>ME</v>
      </c>
      <c r="D73" s="80">
        <f>IFERROR(INDEX(tblStudents[Semester],MATCH(tblAttendance[[#This Row],[StudentID]],tblStudents[StudentID],0)),"Unknown")</f>
        <v>3</v>
      </c>
      <c r="E73" s="80">
        <f>IFERROR(INDEX(tblStudents[Year],MATCH(tblAttendance[[#This Row],[StudentID]],tblStudents[StudentID],0)),"Unknown")</f>
        <v>2023</v>
      </c>
      <c r="F73" s="80" t="n">
        <v>181</v>
      </c>
      <c r="G73" s="80" t="n">
        <v>159</v>
      </c>
      <c r="H73" s="83">
        <f>IFERROR(tblAttendance[[#This Row],[Classes Attended]]/tblAttendance[[#This Row],[Classes Held]],0)</f>
        <v>0.878453038674033</v>
      </c>
      <c r="I7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73" s="80">
        <f>IFERROR(INDEX(tblStudents[Total Marks],MATCH(tblAttendance[[#This Row],[StudentID]],tblStudents[StudentID],0)),"Unknown")</f>
        <v>73</v>
      </c>
      <c r="K73" s="82">
        <f>IF(COUNTIFS(tblAttendance[[#This Row],[Branch]],cAt_B,tblAttendance[[#This Row],[Semester]],cAt_S,tblAttendance[[#This Row],[Year]],cAt_Y)=1,tblAttendance[[#This Row],[Attendance %]]+ROW()/1000000000,"")</f>
        <v>0.878453111674033</v>
      </c>
    </row>
    <row r="74">
      <c r="A74" s="79" t="inlineStr">
        <is>
          <t>STU1070</t>
        </is>
      </c>
      <c r="B74" s="79" t="str">
        <f>IFERROR(INDEX(tblStudents[Student Name],MATCH(tblAttendance[[#This Row],[StudentID]],tblStudents[StudentID],0)),"Unknown")</f>
        <v>Sumit Kapoor</v>
      </c>
      <c r="C74" s="80" t="str">
        <f>IFERROR(INDEX(tblStudents[Branch],MATCH(tblAttendance[[#This Row],[StudentID]],tblStudents[StudentID],0)),"Unknown")</f>
        <v>CE</v>
      </c>
      <c r="D74" s="80">
        <f>IFERROR(INDEX(tblStudents[Semester],MATCH(tblAttendance[[#This Row],[StudentID]],tblStudents[StudentID],0)),"Unknown")</f>
        <v>2</v>
      </c>
      <c r="E74" s="80">
        <f>IFERROR(INDEX(tblStudents[Year],MATCH(tblAttendance[[#This Row],[StudentID]],tblStudents[StudentID],0)),"Unknown")</f>
        <v>2026</v>
      </c>
      <c r="F74" s="80" t="n">
        <v>166</v>
      </c>
      <c r="G74" s="80" t="n">
        <v>152</v>
      </c>
      <c r="H74" s="83">
        <f>IFERROR(tblAttendance[[#This Row],[Classes Attended]]/tblAttendance[[#This Row],[Classes Held]],0)</f>
        <v>0.91566265060241</v>
      </c>
      <c r="I7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74" s="80">
        <f>IFERROR(INDEX(tblStudents[Total Marks],MATCH(tblAttendance[[#This Row],[StudentID]],tblStudents[StudentID],0)),"Unknown")</f>
        <v>60</v>
      </c>
      <c r="K74" s="82">
        <f>IF(COUNTIFS(tblAttendance[[#This Row],[Branch]],cAt_B,tblAttendance[[#This Row],[Semester]],cAt_S,tblAttendance[[#This Row],[Year]],cAt_Y)=1,tblAttendance[[#This Row],[Attendance %]]+ROW()/1000000000,"")</f>
        <v>0.91566272460241</v>
      </c>
    </row>
    <row r="75">
      <c r="A75" s="79" t="inlineStr">
        <is>
          <t>STU1071</t>
        </is>
      </c>
      <c r="B75" s="79" t="str">
        <f>IFERROR(INDEX(tblStudents[Student Name],MATCH(tblAttendance[[#This Row],[StudentID]],tblStudents[StudentID],0)),"Unknown")</f>
        <v>Gaurav Mittal</v>
      </c>
      <c r="C75" s="80" t="str">
        <f>IFERROR(INDEX(tblStudents[Branch],MATCH(tblAttendance[[#This Row],[StudentID]],tblStudents[StudentID],0)),"Unknown")</f>
        <v>CSE</v>
      </c>
      <c r="D75" s="80">
        <f>IFERROR(INDEX(tblStudents[Semester],MATCH(tblAttendance[[#This Row],[StudentID]],tblStudents[StudentID],0)),"Unknown")</f>
        <v>1</v>
      </c>
      <c r="E75" s="80">
        <f>IFERROR(INDEX(tblStudents[Year],MATCH(tblAttendance[[#This Row],[StudentID]],tblStudents[StudentID],0)),"Unknown")</f>
        <v>2023</v>
      </c>
      <c r="F75" s="80" t="n">
        <v>172</v>
      </c>
      <c r="G75" s="80" t="n">
        <v>134</v>
      </c>
      <c r="H75" s="83">
        <f>IFERROR(tblAttendance[[#This Row],[Classes Attended]]/tblAttendance[[#This Row],[Classes Held]],0)</f>
        <v>0.779069767441861</v>
      </c>
      <c r="I75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75" s="80">
        <f>IFERROR(INDEX(tblStudents[Total Marks],MATCH(tblAttendance[[#This Row],[StudentID]],tblStudents[StudentID],0)),"Unknown")</f>
        <v>68</v>
      </c>
      <c r="K75" s="82">
        <f>IF(COUNTIFS(tblAttendance[[#This Row],[Branch]],cAt_B,tblAttendance[[#This Row],[Semester]],cAt_S,tblAttendance[[#This Row],[Year]],cAt_Y)=1,tblAttendance[[#This Row],[Attendance %]]+ROW()/1000000000,"")</f>
        <v>0.779069842441861</v>
      </c>
    </row>
    <row r="76">
      <c r="A76" s="79" t="inlineStr">
        <is>
          <t>STU1072</t>
        </is>
      </c>
      <c r="B76" s="79" t="str">
        <f>IFERROR(INDEX(tblStudents[Student Name],MATCH(tblAttendance[[#This Row],[StudentID]],tblStudents[StudentID],0)),"Unknown")</f>
        <v>Jhanvi Ansari</v>
      </c>
      <c r="C76" s="80" t="str">
        <f>IFERROR(INDEX(tblStudents[Branch],MATCH(tblAttendance[[#This Row],[StudentID]],tblStudents[StudentID],0)),"Unknown")</f>
        <v>CSE</v>
      </c>
      <c r="D76" s="80">
        <f>IFERROR(INDEX(tblStudents[Semester],MATCH(tblAttendance[[#This Row],[StudentID]],tblStudents[StudentID],0)),"Unknown")</f>
        <v>6</v>
      </c>
      <c r="E76" s="80">
        <f>IFERROR(INDEX(tblStudents[Year],MATCH(tblAttendance[[#This Row],[StudentID]],tblStudents[StudentID],0)),"Unknown")</f>
        <v>2024</v>
      </c>
      <c r="F76" s="80" t="n">
        <v>160</v>
      </c>
      <c r="G76" s="80" t="n">
        <v>158</v>
      </c>
      <c r="H76" s="83">
        <f>IFERROR(tblAttendance[[#This Row],[Classes Attended]]/tblAttendance[[#This Row],[Classes Held]],0)</f>
        <v>0.9875</v>
      </c>
      <c r="I76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76" s="80">
        <f>IFERROR(INDEX(tblStudents[Total Marks],MATCH(tblAttendance[[#This Row],[StudentID]],tblStudents[StudentID],0)),"Unknown")</f>
        <v>89</v>
      </c>
      <c r="K76" s="82">
        <f>IF(COUNTIFS(tblAttendance[[#This Row],[Branch]],cAt_B,tblAttendance[[#This Row],[Semester]],cAt_S,tblAttendance[[#This Row],[Year]],cAt_Y)=1,tblAttendance[[#This Row],[Attendance %]]+ROW()/1000000000,"")</f>
        <v>0.987500076</v>
      </c>
    </row>
    <row r="77">
      <c r="A77" s="79" t="inlineStr">
        <is>
          <t>STU1073</t>
        </is>
      </c>
      <c r="B77" s="79" t="str">
        <f>IFERROR(INDEX(tblStudents[Student Name],MATCH(tblAttendance[[#This Row],[StudentID]],tblStudents[StudentID],0)),"Unknown")</f>
        <v>Diya Gupta</v>
      </c>
      <c r="C77" s="80" t="str">
        <f>IFERROR(INDEX(tblStudents[Branch],MATCH(tblAttendance[[#This Row],[StudentID]],tblStudents[StudentID],0)),"Unknown")</f>
        <v>CE</v>
      </c>
      <c r="D77" s="80">
        <f>IFERROR(INDEX(tblStudents[Semester],MATCH(tblAttendance[[#This Row],[StudentID]],tblStudents[StudentID],0)),"Unknown")</f>
        <v>2</v>
      </c>
      <c r="E77" s="80">
        <f>IFERROR(INDEX(tblStudents[Year],MATCH(tblAttendance[[#This Row],[StudentID]],tblStudents[StudentID],0)),"Unknown")</f>
        <v>2023</v>
      </c>
      <c r="F77" s="80" t="n">
        <v>180</v>
      </c>
      <c r="G77" s="80" t="n">
        <v>150</v>
      </c>
      <c r="H77" s="83">
        <f>IFERROR(tblAttendance[[#This Row],[Classes Attended]]/tblAttendance[[#This Row],[Classes Held]],0)</f>
        <v>0.833333333333333</v>
      </c>
      <c r="I7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77" s="80">
        <f>IFERROR(INDEX(tblStudents[Total Marks],MATCH(tblAttendance[[#This Row],[StudentID]],tblStudents[StudentID],0)),"Unknown")</f>
        <v>54</v>
      </c>
      <c r="K77" s="82">
        <f>IF(COUNTIFS(tblAttendance[[#This Row],[Branch]],cAt_B,tblAttendance[[#This Row],[Semester]],cAt_S,tblAttendance[[#This Row],[Year]],cAt_Y)=1,tblAttendance[[#This Row],[Attendance %]]+ROW()/1000000000,"")</f>
        <v>0.833333410333333</v>
      </c>
    </row>
    <row r="78">
      <c r="A78" s="79" t="inlineStr">
        <is>
          <t>STU1074</t>
        </is>
      </c>
      <c r="B78" s="79" t="str">
        <f>IFERROR(INDEX(tblStudents[Student Name],MATCH(tblAttendance[[#This Row],[StudentID]],tblStudents[StudentID],0)),"Unknown")</f>
        <v>Shubham Shah</v>
      </c>
      <c r="C78" s="80" t="str">
        <f>IFERROR(INDEX(tblStudents[Branch],MATCH(tblAttendance[[#This Row],[StudentID]],tblStudents[StudentID],0)),"Unknown")</f>
        <v>CE</v>
      </c>
      <c r="D78" s="80">
        <f>IFERROR(INDEX(tblStudents[Semester],MATCH(tblAttendance[[#This Row],[StudentID]],tblStudents[StudentID],0)),"Unknown")</f>
        <v>7</v>
      </c>
      <c r="E78" s="80">
        <f>IFERROR(INDEX(tblStudents[Year],MATCH(tblAttendance[[#This Row],[StudentID]],tblStudents[StudentID],0)),"Unknown")</f>
        <v>2024</v>
      </c>
      <c r="F78" s="80" t="n">
        <v>177</v>
      </c>
      <c r="G78" s="80" t="n">
        <v>152</v>
      </c>
      <c r="H78" s="83">
        <f>IFERROR(tblAttendance[[#This Row],[Classes Attended]]/tblAttendance[[#This Row],[Classes Held]],0)</f>
        <v>0.858757062146893</v>
      </c>
      <c r="I7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78" s="80">
        <f>IFERROR(INDEX(tblStudents[Total Marks],MATCH(tblAttendance[[#This Row],[StudentID]],tblStudents[StudentID],0)),"Unknown")</f>
        <v>64</v>
      </c>
      <c r="K78" s="82">
        <f>IF(COUNTIFS(tblAttendance[[#This Row],[Branch]],cAt_B,tblAttendance[[#This Row],[Semester]],cAt_S,tblAttendance[[#This Row],[Year]],cAt_Y)=1,tblAttendance[[#This Row],[Attendance %]]+ROW()/1000000000,"")</f>
        <v>0.858757140146893</v>
      </c>
    </row>
    <row r="79">
      <c r="A79" s="79" t="inlineStr">
        <is>
          <t>STU1075</t>
        </is>
      </c>
      <c r="B79" s="79" t="str">
        <f>IFERROR(INDEX(tblStudents[Student Name],MATCH(tblAttendance[[#This Row],[StudentID]],tblStudents[StudentID],0)),"Unknown")</f>
        <v>Nandini Chaudhary</v>
      </c>
      <c r="C79" s="80" t="str">
        <f>IFERROR(INDEX(tblStudents[Branch],MATCH(tblAttendance[[#This Row],[StudentID]],tblStudents[StudentID],0)),"Unknown")</f>
        <v>CSE</v>
      </c>
      <c r="D79" s="80">
        <f>IFERROR(INDEX(tblStudents[Semester],MATCH(tblAttendance[[#This Row],[StudentID]],tblStudents[StudentID],0)),"Unknown")</f>
        <v>4</v>
      </c>
      <c r="E79" s="80">
        <f>IFERROR(INDEX(tblStudents[Year],MATCH(tblAttendance[[#This Row],[StudentID]],tblStudents[StudentID],0)),"Unknown")</f>
        <v>2023</v>
      </c>
      <c r="F79" s="80" t="n">
        <v>177</v>
      </c>
      <c r="G79" s="80" t="n">
        <v>153</v>
      </c>
      <c r="H79" s="83">
        <f>IFERROR(tblAttendance[[#This Row],[Classes Attended]]/tblAttendance[[#This Row],[Classes Held]],0)</f>
        <v>0.864406779661017</v>
      </c>
      <c r="I7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79" s="80">
        <f>IFERROR(INDEX(tblStudents[Total Marks],MATCH(tblAttendance[[#This Row],[StudentID]],tblStudents[StudentID],0)),"Unknown")</f>
        <v>56</v>
      </c>
      <c r="K79" s="82">
        <f>IF(COUNTIFS(tblAttendance[[#This Row],[Branch]],cAt_B,tblAttendance[[#This Row],[Semester]],cAt_S,tblAttendance[[#This Row],[Year]],cAt_Y)=1,tblAttendance[[#This Row],[Attendance %]]+ROW()/1000000000,"")</f>
        <v>0.864406858661017</v>
      </c>
    </row>
    <row r="80">
      <c r="A80" s="79" t="inlineStr">
        <is>
          <t>STU1076</t>
        </is>
      </c>
      <c r="B80" s="79" t="str">
        <f>IFERROR(INDEX(tblStudents[Student Name],MATCH(tblAttendance[[#This Row],[StudentID]],tblStudents[StudentID],0)),"Unknown")</f>
        <v>Priya Khan</v>
      </c>
      <c r="C80" s="80" t="str">
        <f>IFERROR(INDEX(tblStudents[Branch],MATCH(tblAttendance[[#This Row],[StudentID]],tblStudents[StudentID],0)),"Unknown")</f>
        <v>ECE</v>
      </c>
      <c r="D80" s="80">
        <f>IFERROR(INDEX(tblStudents[Semester],MATCH(tblAttendance[[#This Row],[StudentID]],tblStudents[StudentID],0)),"Unknown")</f>
        <v>3</v>
      </c>
      <c r="E80" s="80">
        <f>IFERROR(INDEX(tblStudents[Year],MATCH(tblAttendance[[#This Row],[StudentID]],tblStudents[StudentID],0)),"Unknown")</f>
        <v>2025</v>
      </c>
      <c r="F80" s="80" t="n">
        <v>170</v>
      </c>
      <c r="G80" s="80" t="n">
        <v>141</v>
      </c>
      <c r="H80" s="83">
        <f>IFERROR(tblAttendance[[#This Row],[Classes Attended]]/tblAttendance[[#This Row],[Classes Held]],0)</f>
        <v>0.829411764705882</v>
      </c>
      <c r="I80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80" s="80">
        <f>IFERROR(INDEX(tblStudents[Total Marks],MATCH(tblAttendance[[#This Row],[StudentID]],tblStudents[StudentID],0)),"Unknown")</f>
        <v>75</v>
      </c>
      <c r="K80" s="82">
        <f>IF(COUNTIFS(tblAttendance[[#This Row],[Branch]],cAt_B,tblAttendance[[#This Row],[Semester]],cAt_S,tblAttendance[[#This Row],[Year]],cAt_Y)=1,tblAttendance[[#This Row],[Attendance %]]+ROW()/1000000000,"")</f>
        <v>0.829411844705882</v>
      </c>
    </row>
    <row r="81">
      <c r="A81" s="79" t="inlineStr">
        <is>
          <t>STU1077</t>
        </is>
      </c>
      <c r="B81" s="79" t="str">
        <f>IFERROR(INDEX(tblStudents[Student Name],MATCH(tblAttendance[[#This Row],[StudentID]],tblStudents[StudentID],0)),"Unknown")</f>
        <v>Diya Rawat</v>
      </c>
      <c r="C81" s="80" t="str">
        <f>IFERROR(INDEX(tblStudents[Branch],MATCH(tblAttendance[[#This Row],[StudentID]],tblStudents[StudentID],0)),"Unknown")</f>
        <v>ME</v>
      </c>
      <c r="D81" s="80">
        <f>IFERROR(INDEX(tblStudents[Semester],MATCH(tblAttendance[[#This Row],[StudentID]],tblStudents[StudentID],0)),"Unknown")</f>
        <v>3</v>
      </c>
      <c r="E81" s="80">
        <f>IFERROR(INDEX(tblStudents[Year],MATCH(tblAttendance[[#This Row],[StudentID]],tblStudents[StudentID],0)),"Unknown")</f>
        <v>2023</v>
      </c>
      <c r="F81" s="80" t="n">
        <v>188</v>
      </c>
      <c r="G81" s="80" t="n">
        <v>135</v>
      </c>
      <c r="H81" s="83">
        <f>IFERROR(tblAttendance[[#This Row],[Classes Attended]]/tblAttendance[[#This Row],[Classes Held]],0)</f>
        <v>0.718085106382979</v>
      </c>
      <c r="I81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81" s="80">
        <f>IFERROR(INDEX(tblStudents[Total Marks],MATCH(tblAttendance[[#This Row],[StudentID]],tblStudents[StudentID],0)),"Unknown")</f>
        <v>38</v>
      </c>
      <c r="K81" s="82">
        <f>IF(COUNTIFS(tblAttendance[[#This Row],[Branch]],cAt_B,tblAttendance[[#This Row],[Semester]],cAt_S,tblAttendance[[#This Row],[Year]],cAt_Y)=1,tblAttendance[[#This Row],[Attendance %]]+ROW()/1000000000,"")</f>
        <v>0.718085187382979</v>
      </c>
    </row>
    <row r="82">
      <c r="A82" s="79" t="inlineStr">
        <is>
          <t>STU1078</t>
        </is>
      </c>
      <c r="B82" s="79" t="str">
        <f>IFERROR(INDEX(tblStudents[Student Name],MATCH(tblAttendance[[#This Row],[StudentID]],tblStudents[StudentID],0)),"Unknown")</f>
        <v>Rahul Reddy</v>
      </c>
      <c r="C82" s="80" t="str">
        <f>IFERROR(INDEX(tblStudents[Branch],MATCH(tblAttendance[[#This Row],[StudentID]],tblStudents[StudentID],0)),"Unknown")</f>
        <v>ECE</v>
      </c>
      <c r="D82" s="80">
        <f>IFERROR(INDEX(tblStudents[Semester],MATCH(tblAttendance[[#This Row],[StudentID]],tblStudents[StudentID],0)),"Unknown")</f>
        <v>1</v>
      </c>
      <c r="E82" s="80">
        <f>IFERROR(INDEX(tblStudents[Year],MATCH(tblAttendance[[#This Row],[StudentID]],tblStudents[StudentID],0)),"Unknown")</f>
        <v>2024</v>
      </c>
      <c r="F82" s="80" t="n">
        <v>152</v>
      </c>
      <c r="G82" s="80" t="n">
        <v>130</v>
      </c>
      <c r="H82" s="83">
        <f>IFERROR(tblAttendance[[#This Row],[Classes Attended]]/tblAttendance[[#This Row],[Classes Held]],0)</f>
        <v>0.855263157894737</v>
      </c>
      <c r="I8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82" s="80">
        <f>IFERROR(INDEX(tblStudents[Total Marks],MATCH(tblAttendance[[#This Row],[StudentID]],tblStudents[StudentID],0)),"Unknown")</f>
        <v>65</v>
      </c>
      <c r="K82" s="82">
        <f>IF(COUNTIFS(tblAttendance[[#This Row],[Branch]],cAt_B,tblAttendance[[#This Row],[Semester]],cAt_S,tblAttendance[[#This Row],[Year]],cAt_Y)=1,tblAttendance[[#This Row],[Attendance %]]+ROW()/1000000000,"")</f>
        <v>0.855263239894737</v>
      </c>
    </row>
    <row r="83">
      <c r="A83" s="79" t="inlineStr">
        <is>
          <t>STU1079</t>
        </is>
      </c>
      <c r="B83" s="79" t="str">
        <f>IFERROR(INDEX(tblStudents[Student Name],MATCH(tblAttendance[[#This Row],[StudentID]],tblStudents[StudentID],0)),"Unknown")</f>
        <v>Khushi Yadav</v>
      </c>
      <c r="C83" s="80" t="str">
        <f>IFERROR(INDEX(tblStudents[Branch],MATCH(tblAttendance[[#This Row],[StudentID]],tblStudents[StudentID],0)),"Unknown")</f>
        <v>CSE</v>
      </c>
      <c r="D83" s="80">
        <f>IFERROR(INDEX(tblStudents[Semester],MATCH(tblAttendance[[#This Row],[StudentID]],tblStudents[StudentID],0)),"Unknown")</f>
        <v>1</v>
      </c>
      <c r="E83" s="80">
        <f>IFERROR(INDEX(tblStudents[Year],MATCH(tblAttendance[[#This Row],[StudentID]],tblStudents[StudentID],0)),"Unknown")</f>
        <v>2024</v>
      </c>
      <c r="F83" s="80" t="n">
        <v>178</v>
      </c>
      <c r="G83" s="80" t="n">
        <v>144</v>
      </c>
      <c r="H83" s="83">
        <f>IFERROR(tblAttendance[[#This Row],[Classes Attended]]/tblAttendance[[#This Row],[Classes Held]],0)</f>
        <v>0.808988764044944</v>
      </c>
      <c r="I8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83" s="80">
        <f>IFERROR(INDEX(tblStudents[Total Marks],MATCH(tblAttendance[[#This Row],[StudentID]],tblStudents[StudentID],0)),"Unknown")</f>
        <v>63</v>
      </c>
      <c r="K83" s="82">
        <f>IF(COUNTIFS(tblAttendance[[#This Row],[Branch]],cAt_B,tblAttendance[[#This Row],[Semester]],cAt_S,tblAttendance[[#This Row],[Year]],cAt_Y)=1,tblAttendance[[#This Row],[Attendance %]]+ROW()/1000000000,"")</f>
        <v>0.808988847044944</v>
      </c>
    </row>
    <row r="84">
      <c r="A84" s="79" t="inlineStr">
        <is>
          <t>STU1080</t>
        </is>
      </c>
      <c r="B84" s="79" t="str">
        <f>IFERROR(INDEX(tblStudents[Student Name],MATCH(tblAttendance[[#This Row],[StudentID]],tblStudents[StudentID],0)),"Unknown")</f>
        <v>Ayush Shah</v>
      </c>
      <c r="C84" s="80" t="str">
        <f>IFERROR(INDEX(tblStudents[Branch],MATCH(tblAttendance[[#This Row],[StudentID]],tblStudents[StudentID],0)),"Unknown")</f>
        <v>IT</v>
      </c>
      <c r="D84" s="80">
        <f>IFERROR(INDEX(tblStudents[Semester],MATCH(tblAttendance[[#This Row],[StudentID]],tblStudents[StudentID],0)),"Unknown")</f>
        <v>1</v>
      </c>
      <c r="E84" s="80">
        <f>IFERROR(INDEX(tblStudents[Year],MATCH(tblAttendance[[#This Row],[StudentID]],tblStudents[StudentID],0)),"Unknown")</f>
        <v>2024</v>
      </c>
      <c r="F84" s="80" t="n">
        <v>176</v>
      </c>
      <c r="G84" s="80" t="n">
        <v>126</v>
      </c>
      <c r="H84" s="83">
        <f>IFERROR(tblAttendance[[#This Row],[Classes Attended]]/tblAttendance[[#This Row],[Classes Held]],0)</f>
        <v>0.715909090909091</v>
      </c>
      <c r="I84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84" s="80">
        <f>IFERROR(INDEX(tblStudents[Total Marks],MATCH(tblAttendance[[#This Row],[StudentID]],tblStudents[StudentID],0)),"Unknown")</f>
        <v>34</v>
      </c>
      <c r="K84" s="82">
        <f>IF(COUNTIFS(tblAttendance[[#This Row],[Branch]],cAt_B,tblAttendance[[#This Row],[Semester]],cAt_S,tblAttendance[[#This Row],[Year]],cAt_Y)=1,tblAttendance[[#This Row],[Attendance %]]+ROW()/1000000000,"")</f>
        <v>0.715909174909091</v>
      </c>
    </row>
    <row r="85">
      <c r="A85" s="79" t="inlineStr">
        <is>
          <t>STU1081</t>
        </is>
      </c>
      <c r="B85" s="79" t="str">
        <f>IFERROR(INDEX(tblStudents[Student Name],MATCH(tblAttendance[[#This Row],[StudentID]],tblStudents[StudentID],0)),"Unknown")</f>
        <v>Rohan Goel</v>
      </c>
      <c r="C85" s="80" t="str">
        <f>IFERROR(INDEX(tblStudents[Branch],MATCH(tblAttendance[[#This Row],[StudentID]],tblStudents[StudentID],0)),"Unknown")</f>
        <v>CSE</v>
      </c>
      <c r="D85" s="80">
        <f>IFERROR(INDEX(tblStudents[Semester],MATCH(tblAttendance[[#This Row],[StudentID]],tblStudents[StudentID],0)),"Unknown")</f>
        <v>5</v>
      </c>
      <c r="E85" s="80">
        <f>IFERROR(INDEX(tblStudents[Year],MATCH(tblAttendance[[#This Row],[StudentID]],tblStudents[StudentID],0)),"Unknown")</f>
        <v>2023</v>
      </c>
      <c r="F85" s="80" t="n">
        <v>180</v>
      </c>
      <c r="G85" s="80" t="n">
        <v>161</v>
      </c>
      <c r="H85" s="83">
        <f>IFERROR(tblAttendance[[#This Row],[Classes Attended]]/tblAttendance[[#This Row],[Classes Held]],0)</f>
        <v>0.894444444444445</v>
      </c>
      <c r="I8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85" s="80">
        <f>IFERROR(INDEX(tblStudents[Total Marks],MATCH(tblAttendance[[#This Row],[StudentID]],tblStudents[StudentID],0)),"Unknown")</f>
        <v>71</v>
      </c>
      <c r="K85" s="82">
        <f>IF(COUNTIFS(tblAttendance[[#This Row],[Branch]],cAt_B,tblAttendance[[#This Row],[Semester]],cAt_S,tblAttendance[[#This Row],[Year]],cAt_Y)=1,tblAttendance[[#This Row],[Attendance %]]+ROW()/1000000000,"")</f>
        <v>0.894444529444445</v>
      </c>
    </row>
    <row r="86">
      <c r="A86" s="79" t="inlineStr">
        <is>
          <t>STU1082</t>
        </is>
      </c>
      <c r="B86" s="79" t="str">
        <f>IFERROR(INDEX(tblStudents[Student Name],MATCH(tblAttendance[[#This Row],[StudentID]],tblStudents[StudentID],0)),"Unknown")</f>
        <v>Devansh Singh</v>
      </c>
      <c r="C86" s="80" t="str">
        <f>IFERROR(INDEX(tblStudents[Branch],MATCH(tblAttendance[[#This Row],[StudentID]],tblStudents[StudentID],0)),"Unknown")</f>
        <v>ME</v>
      </c>
      <c r="D86" s="80">
        <f>IFERROR(INDEX(tblStudents[Semester],MATCH(tblAttendance[[#This Row],[StudentID]],tblStudents[StudentID],0)),"Unknown")</f>
        <v>4</v>
      </c>
      <c r="E86" s="80">
        <f>IFERROR(INDEX(tblStudents[Year],MATCH(tblAttendance[[#This Row],[StudentID]],tblStudents[StudentID],0)),"Unknown")</f>
        <v>2026</v>
      </c>
      <c r="F86" s="80" t="n">
        <v>171</v>
      </c>
      <c r="G86" s="80" t="n">
        <v>104</v>
      </c>
      <c r="H86" s="83">
        <f>IFERROR(tblAttendance[[#This Row],[Classes Attended]]/tblAttendance[[#This Row],[Classes Held]],0)</f>
        <v>0.608187134502924</v>
      </c>
      <c r="I8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86" s="80">
        <f>IFERROR(INDEX(tblStudents[Total Marks],MATCH(tblAttendance[[#This Row],[StudentID]],tblStudents[StudentID],0)),"Unknown")</f>
        <v>38</v>
      </c>
      <c r="K86" s="82">
        <f>IF(COUNTIFS(tblAttendance[[#This Row],[Branch]],cAt_B,tblAttendance[[#This Row],[Semester]],cAt_S,tblAttendance[[#This Row],[Year]],cAt_Y)=1,tblAttendance[[#This Row],[Attendance %]]+ROW()/1000000000,"")</f>
        <v>0.608187220502924</v>
      </c>
    </row>
    <row r="87">
      <c r="A87" s="79" t="inlineStr">
        <is>
          <t>STU1083</t>
        </is>
      </c>
      <c r="B87" s="79" t="str">
        <f>IFERROR(INDEX(tblStudents[Student Name],MATCH(tblAttendance[[#This Row],[StudentID]],tblStudents[StudentID],0)),"Unknown")</f>
        <v>Sachin Garg</v>
      </c>
      <c r="C87" s="80" t="str">
        <f>IFERROR(INDEX(tblStudents[Branch],MATCH(tblAttendance[[#This Row],[StudentID]],tblStudents[StudentID],0)),"Unknown")</f>
        <v>CSE</v>
      </c>
      <c r="D87" s="80">
        <f>IFERROR(INDEX(tblStudents[Semester],MATCH(tblAttendance[[#This Row],[StudentID]],tblStudents[StudentID],0)),"Unknown")</f>
        <v>4</v>
      </c>
      <c r="E87" s="80">
        <f>IFERROR(INDEX(tblStudents[Year],MATCH(tblAttendance[[#This Row],[StudentID]],tblStudents[StudentID],0)),"Unknown")</f>
        <v>2024</v>
      </c>
      <c r="F87" s="80" t="n">
        <v>188</v>
      </c>
      <c r="G87" s="80" t="n">
        <v>179</v>
      </c>
      <c r="H87" s="83">
        <f>IFERROR(tblAttendance[[#This Row],[Classes Attended]]/tblAttendance[[#This Row],[Classes Held]],0)</f>
        <v>0.952127659574468</v>
      </c>
      <c r="I8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87" s="80">
        <f>IFERROR(INDEX(tblStudents[Total Marks],MATCH(tblAttendance[[#This Row],[StudentID]],tblStudents[StudentID],0)),"Unknown")</f>
        <v>56</v>
      </c>
      <c r="K87" s="82">
        <f>IF(COUNTIFS(tblAttendance[[#This Row],[Branch]],cAt_B,tblAttendance[[#This Row],[Semester]],cAt_S,tblAttendance[[#This Row],[Year]],cAt_Y)=1,tblAttendance[[#This Row],[Attendance %]]+ROW()/1000000000,"")</f>
        <v>0.952127746574468</v>
      </c>
    </row>
    <row r="88">
      <c r="A88" s="79" t="inlineStr">
        <is>
          <t>STU1084</t>
        </is>
      </c>
      <c r="B88" s="79" t="str">
        <f>IFERROR(INDEX(tblStudents[Student Name],MATCH(tblAttendance[[#This Row],[StudentID]],tblStudents[StudentID],0)),"Unknown")</f>
        <v>Varun Yadav</v>
      </c>
      <c r="C88" s="80" t="str">
        <f>IFERROR(INDEX(tblStudents[Branch],MATCH(tblAttendance[[#This Row],[StudentID]],tblStudents[StudentID],0)),"Unknown")</f>
        <v>CSE</v>
      </c>
      <c r="D88" s="80">
        <f>IFERROR(INDEX(tblStudents[Semester],MATCH(tblAttendance[[#This Row],[StudentID]],tblStudents[StudentID],0)),"Unknown")</f>
        <v>2</v>
      </c>
      <c r="E88" s="80">
        <f>IFERROR(INDEX(tblStudents[Year],MATCH(tblAttendance[[#This Row],[StudentID]],tblStudents[StudentID],0)),"Unknown")</f>
        <v>2024</v>
      </c>
      <c r="F88" s="80" t="n">
        <v>186</v>
      </c>
      <c r="G88" s="80" t="n">
        <v>175</v>
      </c>
      <c r="H88" s="83">
        <f>IFERROR(tblAttendance[[#This Row],[Classes Attended]]/tblAttendance[[#This Row],[Classes Held]],0)</f>
        <v>0.940860215053764</v>
      </c>
      <c r="I8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88" s="80">
        <f>IFERROR(INDEX(tblStudents[Total Marks],MATCH(tblAttendance[[#This Row],[StudentID]],tblStudents[StudentID],0)),"Unknown")</f>
        <v>83</v>
      </c>
      <c r="K88" s="82">
        <f>IF(COUNTIFS(tblAttendance[[#This Row],[Branch]],cAt_B,tblAttendance[[#This Row],[Semester]],cAt_S,tblAttendance[[#This Row],[Year]],cAt_Y)=1,tblAttendance[[#This Row],[Attendance %]]+ROW()/1000000000,"")</f>
        <v>0.940860303053763</v>
      </c>
    </row>
    <row r="89">
      <c r="A89" s="79" t="inlineStr">
        <is>
          <t>STU1085</t>
        </is>
      </c>
      <c r="B89" s="79" t="str">
        <f>IFERROR(INDEX(tblStudents[Student Name],MATCH(tblAttendance[[#This Row],[StudentID]],tblStudents[StudentID],0)),"Unknown")</f>
        <v>Mayank Agarwal</v>
      </c>
      <c r="C89" s="80" t="str">
        <f>IFERROR(INDEX(tblStudents[Branch],MATCH(tblAttendance[[#This Row],[StudentID]],tblStudents[StudentID],0)),"Unknown")</f>
        <v>CE</v>
      </c>
      <c r="D89" s="80">
        <f>IFERROR(INDEX(tblStudents[Semester],MATCH(tblAttendance[[#This Row],[StudentID]],tblStudents[StudentID],0)),"Unknown")</f>
        <v>6</v>
      </c>
      <c r="E89" s="80">
        <f>IFERROR(INDEX(tblStudents[Year],MATCH(tblAttendance[[#This Row],[StudentID]],tblStudents[StudentID],0)),"Unknown")</f>
        <v>2024</v>
      </c>
      <c r="F89" s="80" t="n">
        <v>156</v>
      </c>
      <c r="G89" s="80" t="n">
        <v>107</v>
      </c>
      <c r="H89" s="83">
        <f>IFERROR(tblAttendance[[#This Row],[Classes Attended]]/tblAttendance[[#This Row],[Classes Held]],0)</f>
        <v>0.685897435897436</v>
      </c>
      <c r="I89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89" s="80">
        <f>IFERROR(INDEX(tblStudents[Total Marks],MATCH(tblAttendance[[#This Row],[StudentID]],tblStudents[StudentID],0)),"Unknown")</f>
        <v>65</v>
      </c>
      <c r="K89" s="82">
        <f>IF(COUNTIFS(tblAttendance[[#This Row],[Branch]],cAt_B,tblAttendance[[#This Row],[Semester]],cAt_S,tblAttendance[[#This Row],[Year]],cAt_Y)=1,tblAttendance[[#This Row],[Attendance %]]+ROW()/1000000000,"")</f>
        <v>0.685897524897436</v>
      </c>
    </row>
    <row r="90">
      <c r="A90" s="79" t="inlineStr">
        <is>
          <t>STU1086</t>
        </is>
      </c>
      <c r="B90" s="79" t="str">
        <f>IFERROR(INDEX(tblStudents[Student Name],MATCH(tblAttendance[[#This Row],[StudentID]],tblStudents[StudentID],0)),"Unknown")</f>
        <v>Naina Rawat</v>
      </c>
      <c r="C90" s="80" t="str">
        <f>IFERROR(INDEX(tblStudents[Branch],MATCH(tblAttendance[[#This Row],[StudentID]],tblStudents[StudentID],0)),"Unknown")</f>
        <v>CSE</v>
      </c>
      <c r="D90" s="80">
        <f>IFERROR(INDEX(tblStudents[Semester],MATCH(tblAttendance[[#This Row],[StudentID]],tblStudents[StudentID],0)),"Unknown")</f>
        <v>1</v>
      </c>
      <c r="E90" s="80">
        <f>IFERROR(INDEX(tblStudents[Year],MATCH(tblAttendance[[#This Row],[StudentID]],tblStudents[StudentID],0)),"Unknown")</f>
        <v>2025</v>
      </c>
      <c r="F90" s="80" t="n">
        <v>175</v>
      </c>
      <c r="G90" s="80" t="n">
        <v>155</v>
      </c>
      <c r="H90" s="83">
        <f>IFERROR(tblAttendance[[#This Row],[Classes Attended]]/tblAttendance[[#This Row],[Classes Held]],0)</f>
        <v>0.885714285714286</v>
      </c>
      <c r="I90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0" s="80">
        <f>IFERROR(INDEX(tblStudents[Total Marks],MATCH(tblAttendance[[#This Row],[StudentID]],tblStudents[StudentID],0)),"Unknown")</f>
        <v>79</v>
      </c>
      <c r="K90" s="82">
        <f>IF(COUNTIFS(tblAttendance[[#This Row],[Branch]],cAt_B,tblAttendance[[#This Row],[Semester]],cAt_S,tblAttendance[[#This Row],[Year]],cAt_Y)=1,tblAttendance[[#This Row],[Attendance %]]+ROW()/1000000000,"")</f>
        <v>0.885714375714286</v>
      </c>
    </row>
    <row r="91">
      <c r="A91" s="79" t="inlineStr">
        <is>
          <t>STU1087</t>
        </is>
      </c>
      <c r="B91" s="79" t="str">
        <f>IFERROR(INDEX(tblStudents[Student Name],MATCH(tblAttendance[[#This Row],[StudentID]],tblStudents[StudentID],0)),"Unknown")</f>
        <v>Anjali Malik</v>
      </c>
      <c r="C91" s="80" t="str">
        <f>IFERROR(INDEX(tblStudents[Branch],MATCH(tblAttendance[[#This Row],[StudentID]],tblStudents[StudentID],0)),"Unknown")</f>
        <v>CE</v>
      </c>
      <c r="D91" s="80">
        <f>IFERROR(INDEX(tblStudents[Semester],MATCH(tblAttendance[[#This Row],[StudentID]],tblStudents[StudentID],0)),"Unknown")</f>
        <v>1</v>
      </c>
      <c r="E91" s="80">
        <f>IFERROR(INDEX(tblStudents[Year],MATCH(tblAttendance[[#This Row],[StudentID]],tblStudents[StudentID],0)),"Unknown")</f>
        <v>2023</v>
      </c>
      <c r="F91" s="80" t="n">
        <v>174</v>
      </c>
      <c r="G91" s="80" t="n">
        <v>146</v>
      </c>
      <c r="H91" s="83">
        <f>IFERROR(tblAttendance[[#This Row],[Classes Attended]]/tblAttendance[[#This Row],[Classes Held]],0)</f>
        <v>0.839080459770115</v>
      </c>
      <c r="I9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1" s="80">
        <f>IFERROR(INDEX(tblStudents[Total Marks],MATCH(tblAttendance[[#This Row],[StudentID]],tblStudents[StudentID],0)),"Unknown")</f>
        <v>57</v>
      </c>
      <c r="K91" s="82">
        <f>IF(COUNTIFS(tblAttendance[[#This Row],[Branch]],cAt_B,tblAttendance[[#This Row],[Semester]],cAt_S,tblAttendance[[#This Row],[Year]],cAt_Y)=1,tblAttendance[[#This Row],[Attendance %]]+ROW()/1000000000,"")</f>
        <v>0.839080550770115</v>
      </c>
    </row>
    <row r="92">
      <c r="A92" s="79" t="inlineStr">
        <is>
          <t>STU1088</t>
        </is>
      </c>
      <c r="B92" s="79" t="str">
        <f>IFERROR(INDEX(tblStudents[Student Name],MATCH(tblAttendance[[#This Row],[StudentID]],tblStudents[StudentID],0)),"Unknown")</f>
        <v>Aditi Chaudhary</v>
      </c>
      <c r="C92" s="80" t="str">
        <f>IFERROR(INDEX(tblStudents[Branch],MATCH(tblAttendance[[#This Row],[StudentID]],tblStudents[StudentID],0)),"Unknown")</f>
        <v>IT</v>
      </c>
      <c r="D92" s="80">
        <f>IFERROR(INDEX(tblStudents[Semester],MATCH(tblAttendance[[#This Row],[StudentID]],tblStudents[StudentID],0)),"Unknown")</f>
        <v>8</v>
      </c>
      <c r="E92" s="80">
        <f>IFERROR(INDEX(tblStudents[Year],MATCH(tblAttendance[[#This Row],[StudentID]],tblStudents[StudentID],0)),"Unknown")</f>
        <v>2023</v>
      </c>
      <c r="F92" s="80" t="n">
        <v>161</v>
      </c>
      <c r="G92" s="80" t="n">
        <v>140</v>
      </c>
      <c r="H92" s="83">
        <f>IFERROR(tblAttendance[[#This Row],[Classes Attended]]/tblAttendance[[#This Row],[Classes Held]],0)</f>
        <v>0.869565217391304</v>
      </c>
      <c r="I9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2" s="80">
        <f>IFERROR(INDEX(tblStudents[Total Marks],MATCH(tblAttendance[[#This Row],[StudentID]],tblStudents[StudentID],0)),"Unknown")</f>
        <v>55</v>
      </c>
      <c r="K92" s="82">
        <f>IF(COUNTIFS(tblAttendance[[#This Row],[Branch]],cAt_B,tblAttendance[[#This Row],[Semester]],cAt_S,tblAttendance[[#This Row],[Year]],cAt_Y)=1,tblAttendance[[#This Row],[Attendance %]]+ROW()/1000000000,"")</f>
        <v>0.869565309391304</v>
      </c>
    </row>
    <row r="93">
      <c r="A93" s="79" t="inlineStr">
        <is>
          <t>STU1089</t>
        </is>
      </c>
      <c r="B93" s="79" t="str">
        <f>IFERROR(INDEX(tblStudents[Student Name],MATCH(tblAttendance[[#This Row],[StudentID]],tblStudents[StudentID],0)),"Unknown")</f>
        <v>Abhishek Bansal</v>
      </c>
      <c r="C93" s="80" t="str">
        <f>IFERROR(INDEX(tblStudents[Branch],MATCH(tblAttendance[[#This Row],[StudentID]],tblStudents[StudentID],0)),"Unknown")</f>
        <v>CSE</v>
      </c>
      <c r="D93" s="80">
        <f>IFERROR(INDEX(tblStudents[Semester],MATCH(tblAttendance[[#This Row],[StudentID]],tblStudents[StudentID],0)),"Unknown")</f>
        <v>5</v>
      </c>
      <c r="E93" s="80">
        <f>IFERROR(INDEX(tblStudents[Year],MATCH(tblAttendance[[#This Row],[StudentID]],tblStudents[StudentID],0)),"Unknown")</f>
        <v>2024</v>
      </c>
      <c r="F93" s="80" t="n">
        <v>178</v>
      </c>
      <c r="G93" s="80" t="n">
        <v>141</v>
      </c>
      <c r="H93" s="83">
        <f>IFERROR(tblAttendance[[#This Row],[Classes Attended]]/tblAttendance[[#This Row],[Classes Held]],0)</f>
        <v>0.792134831460674</v>
      </c>
      <c r="I93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93" s="80">
        <f>IFERROR(INDEX(tblStudents[Total Marks],MATCH(tblAttendance[[#This Row],[StudentID]],tblStudents[StudentID],0)),"Unknown")</f>
        <v>61</v>
      </c>
      <c r="K93" s="82">
        <f>IF(COUNTIFS(tblAttendance[[#This Row],[Branch]],cAt_B,tblAttendance[[#This Row],[Semester]],cAt_S,tblAttendance[[#This Row],[Year]],cAt_Y)=1,tblAttendance[[#This Row],[Attendance %]]+ROW()/1000000000,"")</f>
        <v>0.792134924460674</v>
      </c>
    </row>
    <row r="94">
      <c r="A94" s="79" t="inlineStr">
        <is>
          <t>STU1090</t>
        </is>
      </c>
      <c r="B94" s="79" t="str">
        <f>IFERROR(INDEX(tblStudents[Student Name],MATCH(tblAttendance[[#This Row],[StudentID]],tblStudents[StudentID],0)),"Unknown")</f>
        <v>Srishti Kumar</v>
      </c>
      <c r="C94" s="80" t="str">
        <f>IFERROR(INDEX(tblStudents[Branch],MATCH(tblAttendance[[#This Row],[StudentID]],tblStudents[StudentID],0)),"Unknown")</f>
        <v>IT</v>
      </c>
      <c r="D94" s="80">
        <f>IFERROR(INDEX(tblStudents[Semester],MATCH(tblAttendance[[#This Row],[StudentID]],tblStudents[StudentID],0)),"Unknown")</f>
        <v>5</v>
      </c>
      <c r="E94" s="80">
        <f>IFERROR(INDEX(tblStudents[Year],MATCH(tblAttendance[[#This Row],[StudentID]],tblStudents[StudentID],0)),"Unknown")</f>
        <v>2026</v>
      </c>
      <c r="F94" s="80" t="n">
        <v>151</v>
      </c>
      <c r="G94" s="80" t="n">
        <v>129</v>
      </c>
      <c r="H94" s="83">
        <f>IFERROR(tblAttendance[[#This Row],[Classes Attended]]/tblAttendance[[#This Row],[Classes Held]],0)</f>
        <v>0.854304635761589</v>
      </c>
      <c r="I9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4" s="80">
        <f>IFERROR(INDEX(tblStudents[Total Marks],MATCH(tblAttendance[[#This Row],[StudentID]],tblStudents[StudentID],0)),"Unknown")</f>
        <v>63</v>
      </c>
      <c r="K94" s="82">
        <f>IF(COUNTIFS(tblAttendance[[#This Row],[Branch]],cAt_B,tblAttendance[[#This Row],[Semester]],cAt_S,tblAttendance[[#This Row],[Year]],cAt_Y)=1,tblAttendance[[#This Row],[Attendance %]]+ROW()/1000000000,"")</f>
        <v>0.854304729761589</v>
      </c>
    </row>
    <row r="95">
      <c r="A95" s="79" t="inlineStr">
        <is>
          <t>STU1091</t>
        </is>
      </c>
      <c r="B95" s="79" t="str">
        <f>IFERROR(INDEX(tblStudents[Student Name],MATCH(tblAttendance[[#This Row],[StudentID]],tblStudents[StudentID],0)),"Unknown")</f>
        <v>Srishti Garg</v>
      </c>
      <c r="C95" s="80" t="str">
        <f>IFERROR(INDEX(tblStudents[Branch],MATCH(tblAttendance[[#This Row],[StudentID]],tblStudents[StudentID],0)),"Unknown")</f>
        <v>ECE</v>
      </c>
      <c r="D95" s="80">
        <f>IFERROR(INDEX(tblStudents[Semester],MATCH(tblAttendance[[#This Row],[StudentID]],tblStudents[StudentID],0)),"Unknown")</f>
        <v>5</v>
      </c>
      <c r="E95" s="80">
        <f>IFERROR(INDEX(tblStudents[Year],MATCH(tblAttendance[[#This Row],[StudentID]],tblStudents[StudentID],0)),"Unknown")</f>
        <v>2025</v>
      </c>
      <c r="F95" s="80" t="n">
        <v>181</v>
      </c>
      <c r="G95" s="80" t="n">
        <v>123</v>
      </c>
      <c r="H95" s="83">
        <f>IFERROR(tblAttendance[[#This Row],[Classes Attended]]/tblAttendance[[#This Row],[Classes Held]],0)</f>
        <v>0.679558011049724</v>
      </c>
      <c r="I95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95" s="80">
        <f>IFERROR(INDEX(tblStudents[Total Marks],MATCH(tblAttendance[[#This Row],[StudentID]],tblStudents[StudentID],0)),"Unknown")</f>
        <v>65</v>
      </c>
      <c r="K95" s="82">
        <f>IF(COUNTIFS(tblAttendance[[#This Row],[Branch]],cAt_B,tblAttendance[[#This Row],[Semester]],cAt_S,tblAttendance[[#This Row],[Year]],cAt_Y)=1,tblAttendance[[#This Row],[Attendance %]]+ROW()/1000000000,"")</f>
        <v>0.679558106049724</v>
      </c>
    </row>
    <row r="96">
      <c r="A96" s="79" t="inlineStr">
        <is>
          <t>STU1092</t>
        </is>
      </c>
      <c r="B96" s="79" t="str">
        <f>IFERROR(INDEX(tblStudents[Student Name],MATCH(tblAttendance[[#This Row],[StudentID]],tblStudents[StudentID],0)),"Unknown")</f>
        <v>Bhavna Rastogi</v>
      </c>
      <c r="C96" s="80" t="str">
        <f>IFERROR(INDEX(tblStudents[Branch],MATCH(tblAttendance[[#This Row],[StudentID]],tblStudents[StudentID],0)),"Unknown")</f>
        <v>IT</v>
      </c>
      <c r="D96" s="80">
        <f>IFERROR(INDEX(tblStudents[Semester],MATCH(tblAttendance[[#This Row],[StudentID]],tblStudents[StudentID],0)),"Unknown")</f>
        <v>6</v>
      </c>
      <c r="E96" s="80">
        <f>IFERROR(INDEX(tblStudents[Year],MATCH(tblAttendance[[#This Row],[StudentID]],tblStudents[StudentID],0)),"Unknown")</f>
        <v>2024</v>
      </c>
      <c r="F96" s="80" t="n">
        <v>169</v>
      </c>
      <c r="G96" s="80" t="n">
        <v>146</v>
      </c>
      <c r="H96" s="83">
        <f>IFERROR(tblAttendance[[#This Row],[Classes Attended]]/tblAttendance[[#This Row],[Classes Held]],0)</f>
        <v>0.863905325443787</v>
      </c>
      <c r="I9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6" s="80">
        <f>IFERROR(INDEX(tblStudents[Total Marks],MATCH(tblAttendance[[#This Row],[StudentID]],tblStudents[StudentID],0)),"Unknown")</f>
        <v>65</v>
      </c>
      <c r="K96" s="82">
        <f>IF(COUNTIFS(tblAttendance[[#This Row],[Branch]],cAt_B,tblAttendance[[#This Row],[Semester]],cAt_S,tblAttendance[[#This Row],[Year]],cAt_Y)=1,tblAttendance[[#This Row],[Attendance %]]+ROW()/1000000000,"")</f>
        <v>0.863905421443787</v>
      </c>
    </row>
    <row r="97">
      <c r="A97" s="79" t="inlineStr">
        <is>
          <t>STU1093</t>
        </is>
      </c>
      <c r="B97" s="79" t="str">
        <f>IFERROR(INDEX(tblStudents[Student Name],MATCH(tblAttendance[[#This Row],[StudentID]],tblStudents[StudentID],0)),"Unknown")</f>
        <v>Radhika Iyer</v>
      </c>
      <c r="C97" s="80" t="str">
        <f>IFERROR(INDEX(tblStudents[Branch],MATCH(tblAttendance[[#This Row],[StudentID]],tblStudents[StudentID],0)),"Unknown")</f>
        <v>CSE</v>
      </c>
      <c r="D97" s="80">
        <f>IFERROR(INDEX(tblStudents[Semester],MATCH(tblAttendance[[#This Row],[StudentID]],tblStudents[StudentID],0)),"Unknown")</f>
        <v>5</v>
      </c>
      <c r="E97" s="80">
        <f>IFERROR(INDEX(tblStudents[Year],MATCH(tblAttendance[[#This Row],[StudentID]],tblStudents[StudentID],0)),"Unknown")</f>
        <v>2026</v>
      </c>
      <c r="F97" s="80" t="n">
        <v>158</v>
      </c>
      <c r="G97" s="80" t="n">
        <v>128</v>
      </c>
      <c r="H97" s="83">
        <f>IFERROR(tblAttendance[[#This Row],[Classes Attended]]/tblAttendance[[#This Row],[Classes Held]],0)</f>
        <v>0.810126582278481</v>
      </c>
      <c r="I9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7" s="80">
        <f>IFERROR(INDEX(tblStudents[Total Marks],MATCH(tblAttendance[[#This Row],[StudentID]],tblStudents[StudentID],0)),"Unknown")</f>
        <v>70</v>
      </c>
      <c r="K97" s="82">
        <f>IF(COUNTIFS(tblAttendance[[#This Row],[Branch]],cAt_B,tblAttendance[[#This Row],[Semester]],cAt_S,tblAttendance[[#This Row],[Year]],cAt_Y)=1,tblAttendance[[#This Row],[Attendance %]]+ROW()/1000000000,"")</f>
        <v>0.810126679278481</v>
      </c>
    </row>
    <row r="98">
      <c r="A98" s="79" t="inlineStr">
        <is>
          <t>STU1094</t>
        </is>
      </c>
      <c r="B98" s="79" t="str">
        <f>IFERROR(INDEX(tblStudents[Student Name],MATCH(tblAttendance[[#This Row],[StudentID]],tblStudents[StudentID],0)),"Unknown")</f>
        <v>Parth Saxena</v>
      </c>
      <c r="C98" s="80" t="str">
        <f>IFERROR(INDEX(tblStudents[Branch],MATCH(tblAttendance[[#This Row],[StudentID]],tblStudents[StudentID],0)),"Unknown")</f>
        <v>ECE</v>
      </c>
      <c r="D98" s="80">
        <f>IFERROR(INDEX(tblStudents[Semester],MATCH(tblAttendance[[#This Row],[StudentID]],tblStudents[StudentID],0)),"Unknown")</f>
        <v>7</v>
      </c>
      <c r="E98" s="80">
        <f>IFERROR(INDEX(tblStudents[Year],MATCH(tblAttendance[[#This Row],[StudentID]],tblStudents[StudentID],0)),"Unknown")</f>
        <v>2024</v>
      </c>
      <c r="F98" s="80" t="n">
        <v>185</v>
      </c>
      <c r="G98" s="80" t="n">
        <v>159</v>
      </c>
      <c r="H98" s="83">
        <f>IFERROR(tblAttendance[[#This Row],[Classes Attended]]/tblAttendance[[#This Row],[Classes Held]],0)</f>
        <v>0.85945945945946</v>
      </c>
      <c r="I9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98" s="80">
        <f>IFERROR(INDEX(tblStudents[Total Marks],MATCH(tblAttendance[[#This Row],[StudentID]],tblStudents[StudentID],0)),"Unknown")</f>
        <v>63</v>
      </c>
      <c r="K98" s="82">
        <f>IF(COUNTIFS(tblAttendance[[#This Row],[Branch]],cAt_B,tblAttendance[[#This Row],[Semester]],cAt_S,tblAttendance[[#This Row],[Year]],cAt_Y)=1,tblAttendance[[#This Row],[Attendance %]]+ROW()/1000000000,"")</f>
        <v>0.85945955745946</v>
      </c>
    </row>
    <row r="99">
      <c r="A99" s="79" t="inlineStr">
        <is>
          <t>STU1095</t>
        </is>
      </c>
      <c r="B99" s="79" t="str">
        <f>IFERROR(INDEX(tblStudents[Student Name],MATCH(tblAttendance[[#This Row],[StudentID]],tblStudents[StudentID],0)),"Unknown")</f>
        <v>Parth Malik</v>
      </c>
      <c r="C99" s="80" t="str">
        <f>IFERROR(INDEX(tblStudents[Branch],MATCH(tblAttendance[[#This Row],[StudentID]],tblStudents[StudentID],0)),"Unknown")</f>
        <v>CE</v>
      </c>
      <c r="D99" s="80">
        <f>IFERROR(INDEX(tblStudents[Semester],MATCH(tblAttendance[[#This Row],[StudentID]],tblStudents[StudentID],0)),"Unknown")</f>
        <v>6</v>
      </c>
      <c r="E99" s="80">
        <f>IFERROR(INDEX(tblStudents[Year],MATCH(tblAttendance[[#This Row],[StudentID]],tblStudents[StudentID],0)),"Unknown")</f>
        <v>2025</v>
      </c>
      <c r="F99" s="80" t="n">
        <v>166</v>
      </c>
      <c r="G99" s="80" t="n">
        <v>125</v>
      </c>
      <c r="H99" s="83">
        <f>IFERROR(tblAttendance[[#This Row],[Classes Attended]]/tblAttendance[[#This Row],[Classes Held]],0)</f>
        <v>0.753012048192771</v>
      </c>
      <c r="I99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99" s="80">
        <f>IFERROR(INDEX(tblStudents[Total Marks],MATCH(tblAttendance[[#This Row],[StudentID]],tblStudents[StudentID],0)),"Unknown")</f>
        <v>62</v>
      </c>
      <c r="K99" s="82">
        <f>IF(COUNTIFS(tblAttendance[[#This Row],[Branch]],cAt_B,tblAttendance[[#This Row],[Semester]],cAt_S,tblAttendance[[#This Row],[Year]],cAt_Y)=1,tblAttendance[[#This Row],[Attendance %]]+ROW()/1000000000,"")</f>
        <v>0.753012147192771</v>
      </c>
    </row>
    <row r="100">
      <c r="A100" s="79" t="inlineStr">
        <is>
          <t>STU1096</t>
        </is>
      </c>
      <c r="B100" s="79" t="str">
        <f>IFERROR(INDEX(tblStudents[Student Name],MATCH(tblAttendance[[#This Row],[StudentID]],tblStudents[StudentID],0)),"Unknown")</f>
        <v>Aarushi Khan</v>
      </c>
      <c r="C100" s="80" t="str">
        <f>IFERROR(INDEX(tblStudents[Branch],MATCH(tblAttendance[[#This Row],[StudentID]],tblStudents[StudentID],0)),"Unknown")</f>
        <v>CSE</v>
      </c>
      <c r="D100" s="80">
        <f>IFERROR(INDEX(tblStudents[Semester],MATCH(tblAttendance[[#This Row],[StudentID]],tblStudents[StudentID],0)),"Unknown")</f>
        <v>7</v>
      </c>
      <c r="E100" s="80">
        <f>IFERROR(INDEX(tblStudents[Year],MATCH(tblAttendance[[#This Row],[StudentID]],tblStudents[StudentID],0)),"Unknown")</f>
        <v>2026</v>
      </c>
      <c r="F100" s="80" t="n">
        <v>170</v>
      </c>
      <c r="G100" s="80" t="n">
        <v>118</v>
      </c>
      <c r="H100" s="83">
        <f>IFERROR(tblAttendance[[#This Row],[Classes Attended]]/tblAttendance[[#This Row],[Classes Held]],0)</f>
        <v>0.694117647058824</v>
      </c>
      <c r="I10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00" s="80">
        <f>IFERROR(INDEX(tblStudents[Total Marks],MATCH(tblAttendance[[#This Row],[StudentID]],tblStudents[StudentID],0)),"Unknown")</f>
        <v>54</v>
      </c>
      <c r="K100" s="82">
        <f>IF(COUNTIFS(tblAttendance[[#This Row],[Branch]],cAt_B,tblAttendance[[#This Row],[Semester]],cAt_S,tblAttendance[[#This Row],[Year]],cAt_Y)=1,tblAttendance[[#This Row],[Attendance %]]+ROW()/1000000000,"")</f>
        <v>0.694117747058824</v>
      </c>
    </row>
    <row r="101">
      <c r="A101" s="79" t="inlineStr">
        <is>
          <t>STU1097</t>
        </is>
      </c>
      <c r="B101" s="79" t="str">
        <f>IFERROR(INDEX(tblStudents[Student Name],MATCH(tblAttendance[[#This Row],[StudentID]],tblStudents[StudentID],0)),"Unknown")</f>
        <v>Sumit Dubey</v>
      </c>
      <c r="C101" s="80" t="str">
        <f>IFERROR(INDEX(tblStudents[Branch],MATCH(tblAttendance[[#This Row],[StudentID]],tblStudents[StudentID],0)),"Unknown")</f>
        <v>ECE</v>
      </c>
      <c r="D101" s="80">
        <f>IFERROR(INDEX(tblStudents[Semester],MATCH(tblAttendance[[#This Row],[StudentID]],tblStudents[StudentID],0)),"Unknown")</f>
        <v>1</v>
      </c>
      <c r="E101" s="80">
        <f>IFERROR(INDEX(tblStudents[Year],MATCH(tblAttendance[[#This Row],[StudentID]],tblStudents[StudentID],0)),"Unknown")</f>
        <v>2023</v>
      </c>
      <c r="F101" s="80" t="n">
        <v>171</v>
      </c>
      <c r="G101" s="80" t="n">
        <v>145</v>
      </c>
      <c r="H101" s="83">
        <f>IFERROR(tblAttendance[[#This Row],[Classes Attended]]/tblAttendance[[#This Row],[Classes Held]],0)</f>
        <v>0.847953216374269</v>
      </c>
      <c r="I10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01" s="80">
        <f>IFERROR(INDEX(tblStudents[Total Marks],MATCH(tblAttendance[[#This Row],[StudentID]],tblStudents[StudentID],0)),"Unknown")</f>
        <v>65</v>
      </c>
      <c r="K101" s="82">
        <f>IF(COUNTIFS(tblAttendance[[#This Row],[Branch]],cAt_B,tblAttendance[[#This Row],[Semester]],cAt_S,tblAttendance[[#This Row],[Year]],cAt_Y)=1,tblAttendance[[#This Row],[Attendance %]]+ROW()/1000000000,"")</f>
        <v>0.847953317374269</v>
      </c>
    </row>
    <row r="102">
      <c r="A102" s="79" t="inlineStr">
        <is>
          <t>STU1098</t>
        </is>
      </c>
      <c r="B102" s="79" t="str">
        <f>IFERROR(INDEX(tblStudents[Student Name],MATCH(tblAttendance[[#This Row],[StudentID]],tblStudents[StudentID],0)),"Unknown")</f>
        <v>Naina Saxena</v>
      </c>
      <c r="C102" s="80" t="str">
        <f>IFERROR(INDEX(tblStudents[Branch],MATCH(tblAttendance[[#This Row],[StudentID]],tblStudents[StudentID],0)),"Unknown")</f>
        <v>ECE</v>
      </c>
      <c r="D102" s="80">
        <f>IFERROR(INDEX(tblStudents[Semester],MATCH(tblAttendance[[#This Row],[StudentID]],tblStudents[StudentID],0)),"Unknown")</f>
        <v>2</v>
      </c>
      <c r="E102" s="80">
        <f>IFERROR(INDEX(tblStudents[Year],MATCH(tblAttendance[[#This Row],[StudentID]],tblStudents[StudentID],0)),"Unknown")</f>
        <v>2023</v>
      </c>
      <c r="F102" s="80" t="n">
        <v>151</v>
      </c>
      <c r="G102" s="80" t="n">
        <v>129</v>
      </c>
      <c r="H102" s="83">
        <f>IFERROR(tblAttendance[[#This Row],[Classes Attended]]/tblAttendance[[#This Row],[Classes Held]],0)</f>
        <v>0.854304635761589</v>
      </c>
      <c r="I10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02" s="80">
        <f>IFERROR(INDEX(tblStudents[Total Marks],MATCH(tblAttendance[[#This Row],[StudentID]],tblStudents[StudentID],0)),"Unknown")</f>
        <v>66</v>
      </c>
      <c r="K102" s="82">
        <f>IF(COUNTIFS(tblAttendance[[#This Row],[Branch]],cAt_B,tblAttendance[[#This Row],[Semester]],cAt_S,tblAttendance[[#This Row],[Year]],cAt_Y)=1,tblAttendance[[#This Row],[Attendance %]]+ROW()/1000000000,"")</f>
        <v>0.854304737761589</v>
      </c>
    </row>
    <row r="103">
      <c r="A103" s="79" t="inlineStr">
        <is>
          <t>STU1099</t>
        </is>
      </c>
      <c r="B103" s="79" t="str">
        <f>IFERROR(INDEX(tblStudents[Student Name],MATCH(tblAttendance[[#This Row],[StudentID]],tblStudents[StudentID],0)),"Unknown")</f>
        <v>Palak Mishra</v>
      </c>
      <c r="C103" s="80" t="str">
        <f>IFERROR(INDEX(tblStudents[Branch],MATCH(tblAttendance[[#This Row],[StudentID]],tblStudents[StudentID],0)),"Unknown")</f>
        <v>ECE</v>
      </c>
      <c r="D103" s="80">
        <f>IFERROR(INDEX(tblStudents[Semester],MATCH(tblAttendance[[#This Row],[StudentID]],tblStudents[StudentID],0)),"Unknown")</f>
        <v>6</v>
      </c>
      <c r="E103" s="80">
        <f>IFERROR(INDEX(tblStudents[Year],MATCH(tblAttendance[[#This Row],[StudentID]],tblStudents[StudentID],0)),"Unknown")</f>
        <v>2025</v>
      </c>
      <c r="F103" s="80" t="n">
        <v>170</v>
      </c>
      <c r="G103" s="80" t="n">
        <v>125</v>
      </c>
      <c r="H103" s="83">
        <f>IFERROR(tblAttendance[[#This Row],[Classes Attended]]/tblAttendance[[#This Row],[Classes Held]],0)</f>
        <v>0.735294117647059</v>
      </c>
      <c r="I103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03" s="80">
        <f>IFERROR(INDEX(tblStudents[Total Marks],MATCH(tblAttendance[[#This Row],[StudentID]],tblStudents[StudentID],0)),"Unknown")</f>
        <v>76</v>
      </c>
      <c r="K103" s="82">
        <f>IF(COUNTIFS(tblAttendance[[#This Row],[Branch]],cAt_B,tblAttendance[[#This Row],[Semester]],cAt_S,tblAttendance[[#This Row],[Year]],cAt_Y)=1,tblAttendance[[#This Row],[Attendance %]]+ROW()/1000000000,"")</f>
        <v>0.735294220647059</v>
      </c>
    </row>
    <row r="104">
      <c r="A104" s="79" t="inlineStr">
        <is>
          <t>STU1100</t>
        </is>
      </c>
      <c r="B104" s="79" t="str">
        <f>IFERROR(INDEX(tblStudents[Student Name],MATCH(tblAttendance[[#This Row],[StudentID]],tblStudents[StudentID],0)),"Unknown")</f>
        <v>Kavya Mishra</v>
      </c>
      <c r="C104" s="80" t="str">
        <f>IFERROR(INDEX(tblStudents[Branch],MATCH(tblAttendance[[#This Row],[StudentID]],tblStudents[StudentID],0)),"Unknown")</f>
        <v>IT</v>
      </c>
      <c r="D104" s="80">
        <f>IFERROR(INDEX(tblStudents[Semester],MATCH(tblAttendance[[#This Row],[StudentID]],tblStudents[StudentID],0)),"Unknown")</f>
        <v>4</v>
      </c>
      <c r="E104" s="80">
        <f>IFERROR(INDEX(tblStudents[Year],MATCH(tblAttendance[[#This Row],[StudentID]],tblStudents[StudentID],0)),"Unknown")</f>
        <v>2026</v>
      </c>
      <c r="F104" s="80" t="n">
        <v>155</v>
      </c>
      <c r="G104" s="80" t="n">
        <v>113</v>
      </c>
      <c r="H104" s="83">
        <f>IFERROR(tblAttendance[[#This Row],[Classes Attended]]/tblAttendance[[#This Row],[Classes Held]],0)</f>
        <v>0.729032258064516</v>
      </c>
      <c r="I104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04" s="80">
        <f>IFERROR(INDEX(tblStudents[Total Marks],MATCH(tblAttendance[[#This Row],[StudentID]],tblStudents[StudentID],0)),"Unknown")</f>
        <v>77</v>
      </c>
      <c r="K104" s="82">
        <f>IF(COUNTIFS(tblAttendance[[#This Row],[Branch]],cAt_B,tblAttendance[[#This Row],[Semester]],cAt_S,tblAttendance[[#This Row],[Year]],cAt_Y)=1,tblAttendance[[#This Row],[Attendance %]]+ROW()/1000000000,"")</f>
        <v>0.729032362064516</v>
      </c>
    </row>
    <row r="105">
      <c r="A105" s="79" t="inlineStr">
        <is>
          <t>STU1101</t>
        </is>
      </c>
      <c r="B105" s="79" t="str">
        <f>IFERROR(INDEX(tblStudents[Student Name],MATCH(tblAttendance[[#This Row],[StudentID]],tblStudents[StudentID],0)),"Unknown")</f>
        <v>Ishaan Mehta</v>
      </c>
      <c r="C105" s="80" t="str">
        <f>IFERROR(INDEX(tblStudents[Branch],MATCH(tblAttendance[[#This Row],[StudentID]],tblStudents[StudentID],0)),"Unknown")</f>
        <v>ECE</v>
      </c>
      <c r="D105" s="80">
        <f>IFERROR(INDEX(tblStudents[Semester],MATCH(tblAttendance[[#This Row],[StudentID]],tblStudents[StudentID],0)),"Unknown")</f>
        <v>2</v>
      </c>
      <c r="E105" s="80">
        <f>IFERROR(INDEX(tblStudents[Year],MATCH(tblAttendance[[#This Row],[StudentID]],tblStudents[StudentID],0)),"Unknown")</f>
        <v>2026</v>
      </c>
      <c r="F105" s="80" t="n">
        <v>177</v>
      </c>
      <c r="G105" s="80" t="n">
        <v>165</v>
      </c>
      <c r="H105" s="83">
        <f>IFERROR(tblAttendance[[#This Row],[Classes Attended]]/tblAttendance[[#This Row],[Classes Held]],0)</f>
        <v>0.932203389830508</v>
      </c>
      <c r="I10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05" s="80">
        <f>IFERROR(INDEX(tblStudents[Total Marks],MATCH(tblAttendance[[#This Row],[StudentID]],tblStudents[StudentID],0)),"Unknown")</f>
        <v>73</v>
      </c>
      <c r="K105" s="82">
        <f>IF(COUNTIFS(tblAttendance[[#This Row],[Branch]],cAt_B,tblAttendance[[#This Row],[Semester]],cAt_S,tblAttendance[[#This Row],[Year]],cAt_Y)=1,tblAttendance[[#This Row],[Attendance %]]+ROW()/1000000000,"")</f>
        <v>0.932203494830509</v>
      </c>
    </row>
    <row r="106">
      <c r="A106" s="79" t="inlineStr">
        <is>
          <t>STU1102</t>
        </is>
      </c>
      <c r="B106" s="79" t="str">
        <f>IFERROR(INDEX(tblStudents[Student Name],MATCH(tblAttendance[[#This Row],[StudentID]],tblStudents[StudentID],0)),"Unknown")</f>
        <v>Sachin Banerjee</v>
      </c>
      <c r="C106" s="80" t="str">
        <f>IFERROR(INDEX(tblStudents[Branch],MATCH(tblAttendance[[#This Row],[StudentID]],tblStudents[StudentID],0)),"Unknown")</f>
        <v>CSE</v>
      </c>
      <c r="D106" s="80">
        <f>IFERROR(INDEX(tblStudents[Semester],MATCH(tblAttendance[[#This Row],[StudentID]],tblStudents[StudentID],0)),"Unknown")</f>
        <v>8</v>
      </c>
      <c r="E106" s="80">
        <f>IFERROR(INDEX(tblStudents[Year],MATCH(tblAttendance[[#This Row],[StudentID]],tblStudents[StudentID],0)),"Unknown")</f>
        <v>2025</v>
      </c>
      <c r="F106" s="80" t="n">
        <v>152</v>
      </c>
      <c r="G106" s="80" t="n">
        <v>110</v>
      </c>
      <c r="H106" s="83">
        <f>IFERROR(tblAttendance[[#This Row],[Classes Attended]]/tblAttendance[[#This Row],[Classes Held]],0)</f>
        <v>0.723684210526316</v>
      </c>
      <c r="I10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06" s="80">
        <f>IFERROR(INDEX(tblStudents[Total Marks],MATCH(tblAttendance[[#This Row],[StudentID]],tblStudents[StudentID],0)),"Unknown")</f>
        <v>53</v>
      </c>
      <c r="K106" s="82">
        <f>IF(COUNTIFS(tblAttendance[[#This Row],[Branch]],cAt_B,tblAttendance[[#This Row],[Semester]],cAt_S,tblAttendance[[#This Row],[Year]],cAt_Y)=1,tblAttendance[[#This Row],[Attendance %]]+ROW()/1000000000,"")</f>
        <v>0.723684316526316</v>
      </c>
    </row>
    <row r="107">
      <c r="A107" s="79" t="inlineStr">
        <is>
          <t>STU1103</t>
        </is>
      </c>
      <c r="B107" s="79" t="str">
        <f>IFERROR(INDEX(tblStudents[Student Name],MATCH(tblAttendance[[#This Row],[StudentID]],tblStudents[StudentID],0)),"Unknown")</f>
        <v>Sneha Bansal</v>
      </c>
      <c r="C107" s="80" t="str">
        <f>IFERROR(INDEX(tblStudents[Branch],MATCH(tblAttendance[[#This Row],[StudentID]],tblStudents[StudentID],0)),"Unknown")</f>
        <v>CE</v>
      </c>
      <c r="D107" s="80">
        <f>IFERROR(INDEX(tblStudents[Semester],MATCH(tblAttendance[[#This Row],[StudentID]],tblStudents[StudentID],0)),"Unknown")</f>
        <v>4</v>
      </c>
      <c r="E107" s="80">
        <f>IFERROR(INDEX(tblStudents[Year],MATCH(tblAttendance[[#This Row],[StudentID]],tblStudents[StudentID],0)),"Unknown")</f>
        <v>2026</v>
      </c>
      <c r="F107" s="80" t="n">
        <v>185</v>
      </c>
      <c r="G107" s="80" t="n">
        <v>172</v>
      </c>
      <c r="H107" s="83">
        <f>IFERROR(tblAttendance[[#This Row],[Classes Attended]]/tblAttendance[[#This Row],[Classes Held]],0)</f>
        <v>0.92972972972973</v>
      </c>
      <c r="I10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07" s="80">
        <f>IFERROR(INDEX(tblStudents[Total Marks],MATCH(tblAttendance[[#This Row],[StudentID]],tblStudents[StudentID],0)),"Unknown")</f>
        <v>94</v>
      </c>
      <c r="K107" s="82">
        <f>IF(COUNTIFS(tblAttendance[[#This Row],[Branch]],cAt_B,tblAttendance[[#This Row],[Semester]],cAt_S,tblAttendance[[#This Row],[Year]],cAt_Y)=1,tblAttendance[[#This Row],[Attendance %]]+ROW()/1000000000,"")</f>
        <v>0.92972983672973</v>
      </c>
    </row>
    <row r="108">
      <c r="A108" s="79" t="inlineStr">
        <is>
          <t>STU1104</t>
        </is>
      </c>
      <c r="B108" s="79" t="str">
        <f>IFERROR(INDEX(tblStudents[Student Name],MATCH(tblAttendance[[#This Row],[StudentID]],tblStudents[StudentID],0)),"Unknown")</f>
        <v>Tanvi Patel</v>
      </c>
      <c r="C108" s="80" t="str">
        <f>IFERROR(INDEX(tblStudents[Branch],MATCH(tblAttendance[[#This Row],[StudentID]],tblStudents[StudentID],0)),"Unknown")</f>
        <v>CE</v>
      </c>
      <c r="D108" s="80">
        <f>IFERROR(INDEX(tblStudents[Semester],MATCH(tblAttendance[[#This Row],[StudentID]],tblStudents[StudentID],0)),"Unknown")</f>
        <v>4</v>
      </c>
      <c r="E108" s="80">
        <f>IFERROR(INDEX(tblStudents[Year],MATCH(tblAttendance[[#This Row],[StudentID]],tblStudents[StudentID],0)),"Unknown")</f>
        <v>2025</v>
      </c>
      <c r="F108" s="80" t="n">
        <v>155</v>
      </c>
      <c r="G108" s="80" t="n">
        <v>136</v>
      </c>
      <c r="H108" s="83">
        <f>IFERROR(tblAttendance[[#This Row],[Classes Attended]]/tblAttendance[[#This Row],[Classes Held]],0)</f>
        <v>0.87741935483871</v>
      </c>
      <c r="I10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08" s="80">
        <f>IFERROR(INDEX(tblStudents[Total Marks],MATCH(tblAttendance[[#This Row],[StudentID]],tblStudents[StudentID],0)),"Unknown")</f>
        <v>65</v>
      </c>
      <c r="K108" s="82">
        <f>IF(COUNTIFS(tblAttendance[[#This Row],[Branch]],cAt_B,tblAttendance[[#This Row],[Semester]],cAt_S,tblAttendance[[#This Row],[Year]],cAt_Y)=1,tblAttendance[[#This Row],[Attendance %]]+ROW()/1000000000,"")</f>
        <v>0.87741946283871</v>
      </c>
    </row>
    <row r="109">
      <c r="A109" s="79" t="inlineStr">
        <is>
          <t>STU1105</t>
        </is>
      </c>
      <c r="B109" s="79" t="str">
        <f>IFERROR(INDEX(tblStudents[Student Name],MATCH(tblAttendance[[#This Row],[StudentID]],tblStudents[StudentID],0)),"Unknown")</f>
        <v>Tarun Garg</v>
      </c>
      <c r="C109" s="80" t="str">
        <f>IFERROR(INDEX(tblStudents[Branch],MATCH(tblAttendance[[#This Row],[StudentID]],tblStudents[StudentID],0)),"Unknown")</f>
        <v>ECE</v>
      </c>
      <c r="D109" s="80">
        <f>IFERROR(INDEX(tblStudents[Semester],MATCH(tblAttendance[[#This Row],[StudentID]],tblStudents[StudentID],0)),"Unknown")</f>
        <v>7</v>
      </c>
      <c r="E109" s="80">
        <f>IFERROR(INDEX(tblStudents[Year],MATCH(tblAttendance[[#This Row],[StudentID]],tblStudents[StudentID],0)),"Unknown")</f>
        <v>2025</v>
      </c>
      <c r="F109" s="80" t="n">
        <v>155</v>
      </c>
      <c r="G109" s="80" t="n">
        <v>131</v>
      </c>
      <c r="H109" s="83">
        <f>IFERROR(tblAttendance[[#This Row],[Classes Attended]]/tblAttendance[[#This Row],[Classes Held]],0)</f>
        <v>0.845161290322581</v>
      </c>
      <c r="I10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09" s="80">
        <f>IFERROR(INDEX(tblStudents[Total Marks],MATCH(tblAttendance[[#This Row],[StudentID]],tblStudents[StudentID],0)),"Unknown")</f>
        <v>68</v>
      </c>
      <c r="K109" s="82">
        <f>IF(COUNTIFS(tblAttendance[[#This Row],[Branch]],cAt_B,tblAttendance[[#This Row],[Semester]],cAt_S,tblAttendance[[#This Row],[Year]],cAt_Y)=1,tblAttendance[[#This Row],[Attendance %]]+ROW()/1000000000,"")</f>
        <v>0.845161399322581</v>
      </c>
    </row>
    <row r="110">
      <c r="A110" s="79" t="inlineStr">
        <is>
          <t>STU1106</t>
        </is>
      </c>
      <c r="B110" s="79" t="str">
        <f>IFERROR(INDEX(tblStudents[Student Name],MATCH(tblAttendance[[#This Row],[StudentID]],tblStudents[StudentID],0)),"Unknown")</f>
        <v>Palak Shah</v>
      </c>
      <c r="C110" s="80" t="str">
        <f>IFERROR(INDEX(tblStudents[Branch],MATCH(tblAttendance[[#This Row],[StudentID]],tblStudents[StudentID],0)),"Unknown")</f>
        <v>ECE</v>
      </c>
      <c r="D110" s="80">
        <f>IFERROR(INDEX(tblStudents[Semester],MATCH(tblAttendance[[#This Row],[StudentID]],tblStudents[StudentID],0)),"Unknown")</f>
        <v>5</v>
      </c>
      <c r="E110" s="80">
        <f>IFERROR(INDEX(tblStudents[Year],MATCH(tblAttendance[[#This Row],[StudentID]],tblStudents[StudentID],0)),"Unknown")</f>
        <v>2024</v>
      </c>
      <c r="F110" s="80" t="n">
        <v>175</v>
      </c>
      <c r="G110" s="80" t="n">
        <v>130</v>
      </c>
      <c r="H110" s="83">
        <f>IFERROR(tblAttendance[[#This Row],[Classes Attended]]/tblAttendance[[#This Row],[Classes Held]],0)</f>
        <v>0.742857142857143</v>
      </c>
      <c r="I11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10" s="80">
        <f>IFERROR(INDEX(tblStudents[Total Marks],MATCH(tblAttendance[[#This Row],[StudentID]],tblStudents[StudentID],0)),"Unknown")</f>
        <v>55</v>
      </c>
      <c r="K110" s="82">
        <f>IF(COUNTIFS(tblAttendance[[#This Row],[Branch]],cAt_B,tblAttendance[[#This Row],[Semester]],cAt_S,tblAttendance[[#This Row],[Year]],cAt_Y)=1,tblAttendance[[#This Row],[Attendance %]]+ROW()/1000000000,"")</f>
        <v>0.742857252857143</v>
      </c>
    </row>
    <row r="111">
      <c r="A111" s="79" t="inlineStr">
        <is>
          <t>STU1107</t>
        </is>
      </c>
      <c r="B111" s="79" t="str">
        <f>IFERROR(INDEX(tblStudents[Student Name],MATCH(tblAttendance[[#This Row],[StudentID]],tblStudents[StudentID],0)),"Unknown")</f>
        <v>Ayush Khan</v>
      </c>
      <c r="C111" s="80" t="str">
        <f>IFERROR(INDEX(tblStudents[Branch],MATCH(tblAttendance[[#This Row],[StudentID]],tblStudents[StudentID],0)),"Unknown")</f>
        <v>ECE</v>
      </c>
      <c r="D111" s="80">
        <f>IFERROR(INDEX(tblStudents[Semester],MATCH(tblAttendance[[#This Row],[StudentID]],tblStudents[StudentID],0)),"Unknown")</f>
        <v>5</v>
      </c>
      <c r="E111" s="80">
        <f>IFERROR(INDEX(tblStudents[Year],MATCH(tblAttendance[[#This Row],[StudentID]],tblStudents[StudentID],0)),"Unknown")</f>
        <v>2025</v>
      </c>
      <c r="F111" s="80" t="n">
        <v>189</v>
      </c>
      <c r="G111" s="80" t="n">
        <v>178</v>
      </c>
      <c r="H111" s="83">
        <f>IFERROR(tblAttendance[[#This Row],[Classes Attended]]/tblAttendance[[#This Row],[Classes Held]],0)</f>
        <v>0.941798941798942</v>
      </c>
      <c r="I11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11" s="80">
        <f>IFERROR(INDEX(tblStudents[Total Marks],MATCH(tblAttendance[[#This Row],[StudentID]],tblStudents[StudentID],0)),"Unknown")</f>
        <v>86</v>
      </c>
      <c r="K111" s="82">
        <f>IF(COUNTIFS(tblAttendance[[#This Row],[Branch]],cAt_B,tblAttendance[[#This Row],[Semester]],cAt_S,tblAttendance[[#This Row],[Year]],cAt_Y)=1,tblAttendance[[#This Row],[Attendance %]]+ROW()/1000000000,"")</f>
        <v>0.941799052798942</v>
      </c>
    </row>
    <row r="112">
      <c r="A112" s="79" t="inlineStr">
        <is>
          <t>STU1108</t>
        </is>
      </c>
      <c r="B112" s="79" t="str">
        <f>IFERROR(INDEX(tblStudents[Student Name],MATCH(tblAttendance[[#This Row],[StudentID]],tblStudents[StudentID],0)),"Unknown")</f>
        <v>Isha Joshi</v>
      </c>
      <c r="C112" s="80" t="str">
        <f>IFERROR(INDEX(tblStudents[Branch],MATCH(tblAttendance[[#This Row],[StudentID]],tblStudents[StudentID],0)),"Unknown")</f>
        <v>ECE</v>
      </c>
      <c r="D112" s="80">
        <f>IFERROR(INDEX(tblStudents[Semester],MATCH(tblAttendance[[#This Row],[StudentID]],tblStudents[StudentID],0)),"Unknown")</f>
        <v>7</v>
      </c>
      <c r="E112" s="80">
        <f>IFERROR(INDEX(tblStudents[Year],MATCH(tblAttendance[[#This Row],[StudentID]],tblStudents[StudentID],0)),"Unknown")</f>
        <v>2026</v>
      </c>
      <c r="F112" s="80" t="n">
        <v>171</v>
      </c>
      <c r="G112" s="80" t="n">
        <v>131</v>
      </c>
      <c r="H112" s="83">
        <f>IFERROR(tblAttendance[[#This Row],[Classes Attended]]/tblAttendance[[#This Row],[Classes Held]],0)</f>
        <v>0.766081871345029</v>
      </c>
      <c r="I11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12" s="80">
        <f>IFERROR(INDEX(tblStudents[Total Marks],MATCH(tblAttendance[[#This Row],[StudentID]],tblStudents[StudentID],0)),"Unknown")</f>
        <v>59</v>
      </c>
      <c r="K112" s="82">
        <f>IF(COUNTIFS(tblAttendance[[#This Row],[Branch]],cAt_B,tblAttendance[[#This Row],[Semester]],cAt_S,tblAttendance[[#This Row],[Year]],cAt_Y)=1,tblAttendance[[#This Row],[Attendance %]]+ROW()/1000000000,"")</f>
        <v>0.766081983345029</v>
      </c>
    </row>
    <row r="113">
      <c r="A113" s="79" t="inlineStr">
        <is>
          <t>STU1109</t>
        </is>
      </c>
      <c r="B113" s="79" t="str">
        <f>IFERROR(INDEX(tblStudents[Student Name],MATCH(tblAttendance[[#This Row],[StudentID]],tblStudents[StudentID],0)),"Unknown")</f>
        <v>Srishti Dubey</v>
      </c>
      <c r="C113" s="80" t="str">
        <f>IFERROR(INDEX(tblStudents[Branch],MATCH(tblAttendance[[#This Row],[StudentID]],tblStudents[StudentID],0)),"Unknown")</f>
        <v>ECE</v>
      </c>
      <c r="D113" s="80">
        <f>IFERROR(INDEX(tblStudents[Semester],MATCH(tblAttendance[[#This Row],[StudentID]],tblStudents[StudentID],0)),"Unknown")</f>
        <v>7</v>
      </c>
      <c r="E113" s="80">
        <f>IFERROR(INDEX(tblStudents[Year],MATCH(tblAttendance[[#This Row],[StudentID]],tblStudents[StudentID],0)),"Unknown")</f>
        <v>2025</v>
      </c>
      <c r="F113" s="80" t="n">
        <v>156</v>
      </c>
      <c r="G113" s="80" t="n">
        <v>118</v>
      </c>
      <c r="H113" s="83">
        <f>IFERROR(tblAttendance[[#This Row],[Classes Attended]]/tblAttendance[[#This Row],[Classes Held]],0)</f>
        <v>0.756410256410256</v>
      </c>
      <c r="I113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13" s="80">
        <f>IFERROR(INDEX(tblStudents[Total Marks],MATCH(tblAttendance[[#This Row],[StudentID]],tblStudents[StudentID],0)),"Unknown")</f>
        <v>79</v>
      </c>
      <c r="K113" s="82">
        <f>IF(COUNTIFS(tblAttendance[[#This Row],[Branch]],cAt_B,tblAttendance[[#This Row],[Semester]],cAt_S,tblAttendance[[#This Row],[Year]],cAt_Y)=1,tblAttendance[[#This Row],[Attendance %]]+ROW()/1000000000,"")</f>
        <v>0.756410369410256</v>
      </c>
    </row>
    <row r="114">
      <c r="A114" s="79" t="inlineStr">
        <is>
          <t>STU1110</t>
        </is>
      </c>
      <c r="B114" s="79" t="str">
        <f>IFERROR(INDEX(tblStudents[Student Name],MATCH(tblAttendance[[#This Row],[StudentID]],tblStudents[StudentID],0)),"Unknown")</f>
        <v>Tushar Reddy</v>
      </c>
      <c r="C114" s="80" t="str">
        <f>IFERROR(INDEX(tblStudents[Branch],MATCH(tblAttendance[[#This Row],[StudentID]],tblStudents[StudentID],0)),"Unknown")</f>
        <v>ECE</v>
      </c>
      <c r="D114" s="80">
        <f>IFERROR(INDEX(tblStudents[Semester],MATCH(tblAttendance[[#This Row],[StudentID]],tblStudents[StudentID],0)),"Unknown")</f>
        <v>1</v>
      </c>
      <c r="E114" s="80">
        <f>IFERROR(INDEX(tblStudents[Year],MATCH(tblAttendance[[#This Row],[StudentID]],tblStudents[StudentID],0)),"Unknown")</f>
        <v>2025</v>
      </c>
      <c r="F114" s="80" t="n">
        <v>177</v>
      </c>
      <c r="G114" s="80" t="n">
        <v>148</v>
      </c>
      <c r="H114" s="83">
        <f>IFERROR(tblAttendance[[#This Row],[Classes Attended]]/tblAttendance[[#This Row],[Classes Held]],0)</f>
        <v>0.836158192090395</v>
      </c>
      <c r="I11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4" s="80">
        <f>IFERROR(INDEX(tblStudents[Total Marks],MATCH(tblAttendance[[#This Row],[StudentID]],tblStudents[StudentID],0)),"Unknown")</f>
        <v>42</v>
      </c>
      <c r="K114" s="82">
        <f>IF(COUNTIFS(tblAttendance[[#This Row],[Branch]],cAt_B,tblAttendance[[#This Row],[Semester]],cAt_S,tblAttendance[[#This Row],[Year]],cAt_Y)=1,tblAttendance[[#This Row],[Attendance %]]+ROW()/1000000000,"")</f>
        <v>0.836158306090395</v>
      </c>
    </row>
    <row r="115">
      <c r="A115" s="79" t="inlineStr">
        <is>
          <t>STU1111</t>
        </is>
      </c>
      <c r="B115" s="79" t="str">
        <f>IFERROR(INDEX(tblStudents[Student Name],MATCH(tblAttendance[[#This Row],[StudentID]],tblStudents[StudentID],0)),"Unknown")</f>
        <v>Ritika Bansal</v>
      </c>
      <c r="C115" s="80" t="str">
        <f>IFERROR(INDEX(tblStudents[Branch],MATCH(tblAttendance[[#This Row],[StudentID]],tblStudents[StudentID],0)),"Unknown")</f>
        <v>ECE</v>
      </c>
      <c r="D115" s="80">
        <f>IFERROR(INDEX(tblStudents[Semester],MATCH(tblAttendance[[#This Row],[StudentID]],tblStudents[StudentID],0)),"Unknown")</f>
        <v>5</v>
      </c>
      <c r="E115" s="80">
        <f>IFERROR(INDEX(tblStudents[Year],MATCH(tblAttendance[[#This Row],[StudentID]],tblStudents[StudentID],0)),"Unknown")</f>
        <v>2023</v>
      </c>
      <c r="F115" s="80" t="n">
        <v>151</v>
      </c>
      <c r="G115" s="80" t="n">
        <v>131</v>
      </c>
      <c r="H115" s="83">
        <f>IFERROR(tblAttendance[[#This Row],[Classes Attended]]/tblAttendance[[#This Row],[Classes Held]],0)</f>
        <v>0.867549668874172</v>
      </c>
      <c r="I11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5" s="80">
        <f>IFERROR(INDEX(tblStudents[Total Marks],MATCH(tblAttendance[[#This Row],[StudentID]],tblStudents[StudentID],0)),"Unknown")</f>
        <v>70</v>
      </c>
      <c r="K115" s="82">
        <f>IF(COUNTIFS(tblAttendance[[#This Row],[Branch]],cAt_B,tblAttendance[[#This Row],[Semester]],cAt_S,tblAttendance[[#This Row],[Year]],cAt_Y)=1,tblAttendance[[#This Row],[Attendance %]]+ROW()/1000000000,"")</f>
        <v>0.867549783874172</v>
      </c>
    </row>
    <row r="116">
      <c r="A116" s="79" t="inlineStr">
        <is>
          <t>STU1112</t>
        </is>
      </c>
      <c r="B116" s="79" t="str">
        <f>IFERROR(INDEX(tblStudents[Student Name],MATCH(tblAttendance[[#This Row],[StudentID]],tblStudents[StudentID],0)),"Unknown")</f>
        <v>Kavya Garg</v>
      </c>
      <c r="C116" s="80" t="str">
        <f>IFERROR(INDEX(tblStudents[Branch],MATCH(tblAttendance[[#This Row],[StudentID]],tblStudents[StudentID],0)),"Unknown")</f>
        <v>ME</v>
      </c>
      <c r="D116" s="80">
        <f>IFERROR(INDEX(tblStudents[Semester],MATCH(tblAttendance[[#This Row],[StudentID]],tblStudents[StudentID],0)),"Unknown")</f>
        <v>1</v>
      </c>
      <c r="E116" s="80">
        <f>IFERROR(INDEX(tblStudents[Year],MATCH(tblAttendance[[#This Row],[StudentID]],tblStudents[StudentID],0)),"Unknown")</f>
        <v>2025</v>
      </c>
      <c r="F116" s="80" t="n">
        <v>166</v>
      </c>
      <c r="G116" s="80" t="n">
        <v>147</v>
      </c>
      <c r="H116" s="83">
        <f>IFERROR(tblAttendance[[#This Row],[Classes Attended]]/tblAttendance[[#This Row],[Classes Held]],0)</f>
        <v>0.885542168674699</v>
      </c>
      <c r="I11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6" s="80">
        <f>IFERROR(INDEX(tblStudents[Total Marks],MATCH(tblAttendance[[#This Row],[StudentID]],tblStudents[StudentID],0)),"Unknown")</f>
        <v>83</v>
      </c>
      <c r="K116" s="82">
        <f>IF(COUNTIFS(tblAttendance[[#This Row],[Branch]],cAt_B,tblAttendance[[#This Row],[Semester]],cAt_S,tblAttendance[[#This Row],[Year]],cAt_Y)=1,tblAttendance[[#This Row],[Attendance %]]+ROW()/1000000000,"")</f>
        <v>0.885542284674699</v>
      </c>
    </row>
    <row r="117">
      <c r="A117" s="79" t="inlineStr">
        <is>
          <t>STU1113</t>
        </is>
      </c>
      <c r="B117" s="79" t="str">
        <f>IFERROR(INDEX(tblStudents[Student Name],MATCH(tblAttendance[[#This Row],[StudentID]],tblStudents[StudentID],0)),"Unknown")</f>
        <v>Rahul Kumar</v>
      </c>
      <c r="C117" s="80" t="str">
        <f>IFERROR(INDEX(tblStudents[Branch],MATCH(tblAttendance[[#This Row],[StudentID]],tblStudents[StudentID],0)),"Unknown")</f>
        <v>IT</v>
      </c>
      <c r="D117" s="80">
        <f>IFERROR(INDEX(tblStudents[Semester],MATCH(tblAttendance[[#This Row],[StudentID]],tblStudents[StudentID],0)),"Unknown")</f>
        <v>7</v>
      </c>
      <c r="E117" s="80">
        <f>IFERROR(INDEX(tblStudents[Year],MATCH(tblAttendance[[#This Row],[StudentID]],tblStudents[StudentID],0)),"Unknown")</f>
        <v>2023</v>
      </c>
      <c r="F117" s="80" t="n">
        <v>170</v>
      </c>
      <c r="G117" s="80" t="n">
        <v>156</v>
      </c>
      <c r="H117" s="83">
        <f>IFERROR(tblAttendance[[#This Row],[Classes Attended]]/tblAttendance[[#This Row],[Classes Held]],0)</f>
        <v>0.917647058823529</v>
      </c>
      <c r="I11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17" s="80">
        <f>IFERROR(INDEX(tblStudents[Total Marks],MATCH(tblAttendance[[#This Row],[StudentID]],tblStudents[StudentID],0)),"Unknown")</f>
        <v>95</v>
      </c>
      <c r="K117" s="82">
        <f>IF(COUNTIFS(tblAttendance[[#This Row],[Branch]],cAt_B,tblAttendance[[#This Row],[Semester]],cAt_S,tblAttendance[[#This Row],[Year]],cAt_Y)=1,tblAttendance[[#This Row],[Attendance %]]+ROW()/1000000000,"")</f>
        <v>0.917647175823529</v>
      </c>
    </row>
    <row r="118">
      <c r="A118" s="79" t="inlineStr">
        <is>
          <t>STU1114</t>
        </is>
      </c>
      <c r="B118" s="79" t="str">
        <f>IFERROR(INDEX(tblStudents[Student Name],MATCH(tblAttendance[[#This Row],[StudentID]],tblStudents[StudentID],0)),"Unknown")</f>
        <v>Garima Bhatt</v>
      </c>
      <c r="C118" s="80" t="str">
        <f>IFERROR(INDEX(tblStudents[Branch],MATCH(tblAttendance[[#This Row],[StudentID]],tblStudents[StudentID],0)),"Unknown")</f>
        <v>ME</v>
      </c>
      <c r="D118" s="80">
        <f>IFERROR(INDEX(tblStudents[Semester],MATCH(tblAttendance[[#This Row],[StudentID]],tblStudents[StudentID],0)),"Unknown")</f>
        <v>8</v>
      </c>
      <c r="E118" s="80">
        <f>IFERROR(INDEX(tblStudents[Year],MATCH(tblAttendance[[#This Row],[StudentID]],tblStudents[StudentID],0)),"Unknown")</f>
        <v>2024</v>
      </c>
      <c r="F118" s="80" t="n">
        <v>161</v>
      </c>
      <c r="G118" s="80" t="n">
        <v>132</v>
      </c>
      <c r="H118" s="83">
        <f>IFERROR(tblAttendance[[#This Row],[Classes Attended]]/tblAttendance[[#This Row],[Classes Held]],0)</f>
        <v>0.819875776397516</v>
      </c>
      <c r="I11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8" s="80">
        <f>IFERROR(INDEX(tblStudents[Total Marks],MATCH(tblAttendance[[#This Row],[StudentID]],tblStudents[StudentID],0)),"Unknown")</f>
        <v>65</v>
      </c>
      <c r="K118" s="82">
        <f>IF(COUNTIFS(tblAttendance[[#This Row],[Branch]],cAt_B,tblAttendance[[#This Row],[Semester]],cAt_S,tblAttendance[[#This Row],[Year]],cAt_Y)=1,tblAttendance[[#This Row],[Attendance %]]+ROW()/1000000000,"")</f>
        <v>0.819875894397516</v>
      </c>
    </row>
    <row r="119">
      <c r="A119" s="79" t="inlineStr">
        <is>
          <t>STU1115</t>
        </is>
      </c>
      <c r="B119" s="79" t="str">
        <f>IFERROR(INDEX(tblStudents[Student Name],MATCH(tblAttendance[[#This Row],[StudentID]],tblStudents[StudentID],0)),"Unknown")</f>
        <v>Lakshay Iyer</v>
      </c>
      <c r="C119" s="80" t="str">
        <f>IFERROR(INDEX(tblStudents[Branch],MATCH(tblAttendance[[#This Row],[StudentID]],tblStudents[StudentID],0)),"Unknown")</f>
        <v>CE</v>
      </c>
      <c r="D119" s="80">
        <f>IFERROR(INDEX(tblStudents[Semester],MATCH(tblAttendance[[#This Row],[StudentID]],tblStudents[StudentID],0)),"Unknown")</f>
        <v>2</v>
      </c>
      <c r="E119" s="80">
        <f>IFERROR(INDEX(tblStudents[Year],MATCH(tblAttendance[[#This Row],[StudentID]],tblStudents[StudentID],0)),"Unknown")</f>
        <v>2026</v>
      </c>
      <c r="F119" s="80" t="n">
        <v>173</v>
      </c>
      <c r="G119" s="80" t="n">
        <v>140</v>
      </c>
      <c r="H119" s="83">
        <f>IFERROR(tblAttendance[[#This Row],[Classes Attended]]/tblAttendance[[#This Row],[Classes Held]],0)</f>
        <v>0.809248554913295</v>
      </c>
      <c r="I11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19" s="80">
        <f>IFERROR(INDEX(tblStudents[Total Marks],MATCH(tblAttendance[[#This Row],[StudentID]],tblStudents[StudentID],0)),"Unknown")</f>
        <v>67</v>
      </c>
      <c r="K119" s="82">
        <f>IF(COUNTIFS(tblAttendance[[#This Row],[Branch]],cAt_B,tblAttendance[[#This Row],[Semester]],cAt_S,tblAttendance[[#This Row],[Year]],cAt_Y)=1,tblAttendance[[#This Row],[Attendance %]]+ROW()/1000000000,"")</f>
        <v>0.809248673913295</v>
      </c>
    </row>
    <row r="120">
      <c r="A120" s="79" t="inlineStr">
        <is>
          <t>STU1116</t>
        </is>
      </c>
      <c r="B120" s="79" t="str">
        <f>IFERROR(INDEX(tblStudents[Student Name],MATCH(tblAttendance[[#This Row],[StudentID]],tblStudents[StudentID],0)),"Unknown")</f>
        <v>Ankit Mishra</v>
      </c>
      <c r="C120" s="80" t="str">
        <f>IFERROR(INDEX(tblStudents[Branch],MATCH(tblAttendance[[#This Row],[StudentID]],tblStudents[StudentID],0)),"Unknown")</f>
        <v>CE</v>
      </c>
      <c r="D120" s="80">
        <f>IFERROR(INDEX(tblStudents[Semester],MATCH(tblAttendance[[#This Row],[StudentID]],tblStudents[StudentID],0)),"Unknown")</f>
        <v>7</v>
      </c>
      <c r="E120" s="80">
        <f>IFERROR(INDEX(tblStudents[Year],MATCH(tblAttendance[[#This Row],[StudentID]],tblStudents[StudentID],0)),"Unknown")</f>
        <v>2024</v>
      </c>
      <c r="F120" s="80" t="n">
        <v>162</v>
      </c>
      <c r="G120" s="80" t="n">
        <v>153</v>
      </c>
      <c r="H120" s="83">
        <f>IFERROR(tblAttendance[[#This Row],[Classes Attended]]/tblAttendance[[#This Row],[Classes Held]],0)</f>
        <v>0.944444444444444</v>
      </c>
      <c r="I12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20" s="80">
        <f>IFERROR(INDEX(tblStudents[Total Marks],MATCH(tblAttendance[[#This Row],[StudentID]],tblStudents[StudentID],0)),"Unknown")</f>
        <v>76</v>
      </c>
      <c r="K120" s="82">
        <f>IF(COUNTIFS(tblAttendance[[#This Row],[Branch]],cAt_B,tblAttendance[[#This Row],[Semester]],cAt_S,tblAttendance[[#This Row],[Year]],cAt_Y)=1,tblAttendance[[#This Row],[Attendance %]]+ROW()/1000000000,"")</f>
        <v>0.944444564444445</v>
      </c>
    </row>
    <row r="121">
      <c r="A121" s="79" t="inlineStr">
        <is>
          <t>STU1117</t>
        </is>
      </c>
      <c r="B121" s="79" t="str">
        <f>IFERROR(INDEX(tblStudents[Student Name],MATCH(tblAttendance[[#This Row],[StudentID]],tblStudents[StudentID],0)),"Unknown")</f>
        <v>Pranav Kapoor</v>
      </c>
      <c r="C121" s="80" t="str">
        <f>IFERROR(INDEX(tblStudents[Branch],MATCH(tblAttendance[[#This Row],[StudentID]],tblStudents[StudentID],0)),"Unknown")</f>
        <v>CSE</v>
      </c>
      <c r="D121" s="80">
        <f>IFERROR(INDEX(tblStudents[Semester],MATCH(tblAttendance[[#This Row],[StudentID]],tblStudents[StudentID],0)),"Unknown")</f>
        <v>5</v>
      </c>
      <c r="E121" s="80">
        <f>IFERROR(INDEX(tblStudents[Year],MATCH(tblAttendance[[#This Row],[StudentID]],tblStudents[StudentID],0)),"Unknown")</f>
        <v>2023</v>
      </c>
      <c r="F121" s="80" t="n">
        <v>161</v>
      </c>
      <c r="G121" s="80" t="n">
        <v>147</v>
      </c>
      <c r="H121" s="83">
        <f>IFERROR(tblAttendance[[#This Row],[Classes Attended]]/tblAttendance[[#This Row],[Classes Held]],0)</f>
        <v>0.91304347826087</v>
      </c>
      <c r="I12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21" s="80">
        <f>IFERROR(INDEX(tblStudents[Total Marks],MATCH(tblAttendance[[#This Row],[StudentID]],tblStudents[StudentID],0)),"Unknown")</f>
        <v>73</v>
      </c>
      <c r="K121" s="82">
        <f>IF(COUNTIFS(tblAttendance[[#This Row],[Branch]],cAt_B,tblAttendance[[#This Row],[Semester]],cAt_S,tblAttendance[[#This Row],[Year]],cAt_Y)=1,tblAttendance[[#This Row],[Attendance %]]+ROW()/1000000000,"")</f>
        <v>0.91304359926087</v>
      </c>
    </row>
    <row r="122">
      <c r="A122" s="79" t="inlineStr">
        <is>
          <t>STU1118</t>
        </is>
      </c>
      <c r="B122" s="79" t="str">
        <f>IFERROR(INDEX(tblStudents[Student Name],MATCH(tblAttendance[[#This Row],[StudentID]],tblStudents[StudentID],0)),"Unknown")</f>
        <v>Tushar Thakur</v>
      </c>
      <c r="C122" s="80" t="str">
        <f>IFERROR(INDEX(tblStudents[Branch],MATCH(tblAttendance[[#This Row],[StudentID]],tblStudents[StudentID],0)),"Unknown")</f>
        <v>CE</v>
      </c>
      <c r="D122" s="80">
        <f>IFERROR(INDEX(tblStudents[Semester],MATCH(tblAttendance[[#This Row],[StudentID]],tblStudents[StudentID],0)),"Unknown")</f>
        <v>5</v>
      </c>
      <c r="E122" s="80">
        <f>IFERROR(INDEX(tblStudents[Year],MATCH(tblAttendance[[#This Row],[StudentID]],tblStudents[StudentID],0)),"Unknown")</f>
        <v>2024</v>
      </c>
      <c r="F122" s="80" t="n">
        <v>189</v>
      </c>
      <c r="G122" s="80" t="n">
        <v>167</v>
      </c>
      <c r="H122" s="83">
        <f>IFERROR(tblAttendance[[#This Row],[Classes Attended]]/tblAttendance[[#This Row],[Classes Held]],0)</f>
        <v>0.883597883597884</v>
      </c>
      <c r="I12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22" s="80">
        <f>IFERROR(INDEX(tblStudents[Total Marks],MATCH(tblAttendance[[#This Row],[StudentID]],tblStudents[StudentID],0)),"Unknown")</f>
        <v>77</v>
      </c>
      <c r="K122" s="82">
        <f>IF(COUNTIFS(tblAttendance[[#This Row],[Branch]],cAt_B,tblAttendance[[#This Row],[Semester]],cAt_S,tblAttendance[[#This Row],[Year]],cAt_Y)=1,tblAttendance[[#This Row],[Attendance %]]+ROW()/1000000000,"")</f>
        <v>0.883598005597884</v>
      </c>
    </row>
    <row r="123">
      <c r="A123" s="79" t="inlineStr">
        <is>
          <t>STU1119</t>
        </is>
      </c>
      <c r="B123" s="79" t="str">
        <f>IFERROR(INDEX(tblStudents[Student Name],MATCH(tblAttendance[[#This Row],[StudentID]],tblStudents[StudentID],0)),"Unknown")</f>
        <v>Pankaj Kumar</v>
      </c>
      <c r="C123" s="80" t="str">
        <f>IFERROR(INDEX(tblStudents[Branch],MATCH(tblAttendance[[#This Row],[StudentID]],tblStudents[StudentID],0)),"Unknown")</f>
        <v>CE</v>
      </c>
      <c r="D123" s="80">
        <f>IFERROR(INDEX(tblStudents[Semester],MATCH(tblAttendance[[#This Row],[StudentID]],tblStudents[StudentID],0)),"Unknown")</f>
        <v>8</v>
      </c>
      <c r="E123" s="80">
        <f>IFERROR(INDEX(tblStudents[Year],MATCH(tblAttendance[[#This Row],[StudentID]],tblStudents[StudentID],0)),"Unknown")</f>
        <v>2025</v>
      </c>
      <c r="F123" s="80" t="n">
        <v>179</v>
      </c>
      <c r="G123" s="80" t="n">
        <v>130</v>
      </c>
      <c r="H123" s="83">
        <f>IFERROR(tblAttendance[[#This Row],[Classes Attended]]/tblAttendance[[#This Row],[Classes Held]],0)</f>
        <v>0.726256983240224</v>
      </c>
      <c r="I123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23" s="80">
        <f>IFERROR(INDEX(tblStudents[Total Marks],MATCH(tblAttendance[[#This Row],[StudentID]],tblStudents[StudentID],0)),"Unknown")</f>
        <v>66</v>
      </c>
      <c r="K123" s="82">
        <f>IF(COUNTIFS(tblAttendance[[#This Row],[Branch]],cAt_B,tblAttendance[[#This Row],[Semester]],cAt_S,tblAttendance[[#This Row],[Year]],cAt_Y)=1,tblAttendance[[#This Row],[Attendance %]]+ROW()/1000000000,"")</f>
        <v>0.726257106240223</v>
      </c>
    </row>
    <row r="124">
      <c r="A124" s="79" t="inlineStr">
        <is>
          <t>STU1120</t>
        </is>
      </c>
      <c r="B124" s="79" t="str">
        <f>IFERROR(INDEX(tblStudents[Student Name],MATCH(tblAttendance[[#This Row],[StudentID]],tblStudents[StudentID],0)),"Unknown")</f>
        <v>Vishal Bansal</v>
      </c>
      <c r="C124" s="80" t="str">
        <f>IFERROR(INDEX(tblStudents[Branch],MATCH(tblAttendance[[#This Row],[StudentID]],tblStudents[StudentID],0)),"Unknown")</f>
        <v>ME</v>
      </c>
      <c r="D124" s="80">
        <f>IFERROR(INDEX(tblStudents[Semester],MATCH(tblAttendance[[#This Row],[StudentID]],tblStudents[StudentID],0)),"Unknown")</f>
        <v>8</v>
      </c>
      <c r="E124" s="80">
        <f>IFERROR(INDEX(tblStudents[Year],MATCH(tblAttendance[[#This Row],[StudentID]],tblStudents[StudentID],0)),"Unknown")</f>
        <v>2025</v>
      </c>
      <c r="F124" s="80" t="n">
        <v>173</v>
      </c>
      <c r="G124" s="80" t="n">
        <v>156</v>
      </c>
      <c r="H124" s="83">
        <f>IFERROR(tblAttendance[[#This Row],[Classes Attended]]/tblAttendance[[#This Row],[Classes Held]],0)</f>
        <v>0.901734104046243</v>
      </c>
      <c r="I12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24" s="80">
        <f>IFERROR(INDEX(tblStudents[Total Marks],MATCH(tblAttendance[[#This Row],[StudentID]],tblStudents[StudentID],0)),"Unknown")</f>
        <v>84</v>
      </c>
      <c r="K124" s="82">
        <f>IF(COUNTIFS(tblAttendance[[#This Row],[Branch]],cAt_B,tblAttendance[[#This Row],[Semester]],cAt_S,tblAttendance[[#This Row],[Year]],cAt_Y)=1,tblAttendance[[#This Row],[Attendance %]]+ROW()/1000000000,"")</f>
        <v>0.901734228046243</v>
      </c>
    </row>
    <row r="125">
      <c r="A125" s="79" t="inlineStr">
        <is>
          <t>STU1121</t>
        </is>
      </c>
      <c r="B125" s="79" t="str">
        <f>IFERROR(INDEX(tblStudents[Student Name],MATCH(tblAttendance[[#This Row],[StudentID]],tblStudents[StudentID],0)),"Unknown")</f>
        <v>Sneha Chaudhary</v>
      </c>
      <c r="C125" s="80" t="str">
        <f>IFERROR(INDEX(tblStudents[Branch],MATCH(tblAttendance[[#This Row],[StudentID]],tblStudents[StudentID],0)),"Unknown")</f>
        <v>CSE</v>
      </c>
      <c r="D125" s="80">
        <f>IFERROR(INDEX(tblStudents[Semester],MATCH(tblAttendance[[#This Row],[StudentID]],tblStudents[StudentID],0)),"Unknown")</f>
        <v>5</v>
      </c>
      <c r="E125" s="80">
        <f>IFERROR(INDEX(tblStudents[Year],MATCH(tblAttendance[[#This Row],[StudentID]],tblStudents[StudentID],0)),"Unknown")</f>
        <v>2023</v>
      </c>
      <c r="F125" s="80" t="n">
        <v>180</v>
      </c>
      <c r="G125" s="80" t="n">
        <v>152</v>
      </c>
      <c r="H125" s="83">
        <f>IFERROR(tblAttendance[[#This Row],[Classes Attended]]/tblAttendance[[#This Row],[Classes Held]],0)</f>
        <v>0.844444444444444</v>
      </c>
      <c r="I12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25" s="80">
        <f>IFERROR(INDEX(tblStudents[Total Marks],MATCH(tblAttendance[[#This Row],[StudentID]],tblStudents[StudentID],0)),"Unknown")</f>
        <v>91</v>
      </c>
      <c r="K125" s="82">
        <f>IF(COUNTIFS(tblAttendance[[#This Row],[Branch]],cAt_B,tblAttendance[[#This Row],[Semester]],cAt_S,tblAttendance[[#This Row],[Year]],cAt_Y)=1,tblAttendance[[#This Row],[Attendance %]]+ROW()/1000000000,"")</f>
        <v>0.844444569444445</v>
      </c>
    </row>
    <row r="126">
      <c r="A126" s="79" t="inlineStr">
        <is>
          <t>STU1122</t>
        </is>
      </c>
      <c r="B126" s="79" t="str">
        <f>IFERROR(INDEX(tblStudents[Student Name],MATCH(tblAttendance[[#This Row],[StudentID]],tblStudents[StudentID],0)),"Unknown")</f>
        <v>Mohit Agarwal</v>
      </c>
      <c r="C126" s="80" t="str">
        <f>IFERROR(INDEX(tblStudents[Branch],MATCH(tblAttendance[[#This Row],[StudentID]],tblStudents[StudentID],0)),"Unknown")</f>
        <v>ECE</v>
      </c>
      <c r="D126" s="80">
        <f>IFERROR(INDEX(tblStudents[Semester],MATCH(tblAttendance[[#This Row],[StudentID]],tblStudents[StudentID],0)),"Unknown")</f>
        <v>7</v>
      </c>
      <c r="E126" s="80">
        <f>IFERROR(INDEX(tblStudents[Year],MATCH(tblAttendance[[#This Row],[StudentID]],tblStudents[StudentID],0)),"Unknown")</f>
        <v>2023</v>
      </c>
      <c r="F126" s="80" t="n">
        <v>184</v>
      </c>
      <c r="G126" s="80" t="n">
        <v>155</v>
      </c>
      <c r="H126" s="83">
        <f>IFERROR(tblAttendance[[#This Row],[Classes Attended]]/tblAttendance[[#This Row],[Classes Held]],0)</f>
        <v>0.842391304347826</v>
      </c>
      <c r="I12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26" s="80">
        <f>IFERROR(INDEX(tblStudents[Total Marks],MATCH(tblAttendance[[#This Row],[StudentID]],tblStudents[StudentID],0)),"Unknown")</f>
        <v>64</v>
      </c>
      <c r="K126" s="82">
        <f>IF(COUNTIFS(tblAttendance[[#This Row],[Branch]],cAt_B,tblAttendance[[#This Row],[Semester]],cAt_S,tblAttendance[[#This Row],[Year]],cAt_Y)=1,tblAttendance[[#This Row],[Attendance %]]+ROW()/1000000000,"")</f>
        <v>0.842391430347826</v>
      </c>
    </row>
    <row r="127">
      <c r="A127" s="79" t="inlineStr">
        <is>
          <t>STU1123</t>
        </is>
      </c>
      <c r="B127" s="79" t="str">
        <f>IFERROR(INDEX(tblStudents[Student Name],MATCH(tblAttendance[[#This Row],[StudentID]],tblStudents[StudentID],0)),"Unknown")</f>
        <v>Sneha Das</v>
      </c>
      <c r="C127" s="80" t="str">
        <f>IFERROR(INDEX(tblStudents[Branch],MATCH(tblAttendance[[#This Row],[StudentID]],tblStudents[StudentID],0)),"Unknown")</f>
        <v>ECE</v>
      </c>
      <c r="D127" s="80">
        <f>IFERROR(INDEX(tblStudents[Semester],MATCH(tblAttendance[[#This Row],[StudentID]],tblStudents[StudentID],0)),"Unknown")</f>
        <v>5</v>
      </c>
      <c r="E127" s="80">
        <f>IFERROR(INDEX(tblStudents[Year],MATCH(tblAttendance[[#This Row],[StudentID]],tblStudents[StudentID],0)),"Unknown")</f>
        <v>2024</v>
      </c>
      <c r="F127" s="80" t="n">
        <v>150</v>
      </c>
      <c r="G127" s="80" t="n">
        <v>148</v>
      </c>
      <c r="H127" s="83">
        <f>IFERROR(tblAttendance[[#This Row],[Classes Attended]]/tblAttendance[[#This Row],[Classes Held]],0)</f>
        <v>0.986666666666667</v>
      </c>
      <c r="I12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27" s="80">
        <f>IFERROR(INDEX(tblStudents[Total Marks],MATCH(tblAttendance[[#This Row],[StudentID]],tblStudents[StudentID],0)),"Unknown")</f>
        <v>92</v>
      </c>
      <c r="K127" s="82">
        <f>IF(COUNTIFS(tblAttendance[[#This Row],[Branch]],cAt_B,tblAttendance[[#This Row],[Semester]],cAt_S,tblAttendance[[#This Row],[Year]],cAt_Y)=1,tblAttendance[[#This Row],[Attendance %]]+ROW()/1000000000,"")</f>
        <v>0.986666793666667</v>
      </c>
    </row>
    <row r="128">
      <c r="A128" s="79" t="inlineStr">
        <is>
          <t>STU1124</t>
        </is>
      </c>
      <c r="B128" s="79" t="str">
        <f>IFERROR(INDEX(tblStudents[Student Name],MATCH(tblAttendance[[#This Row],[StudentID]],tblStudents[StudentID],0)),"Unknown")</f>
        <v>Pooja Saxena</v>
      </c>
      <c r="C128" s="80" t="str">
        <f>IFERROR(INDEX(tblStudents[Branch],MATCH(tblAttendance[[#This Row],[StudentID]],tblStudents[StudentID],0)),"Unknown")</f>
        <v>ME</v>
      </c>
      <c r="D128" s="80">
        <f>IFERROR(INDEX(tblStudents[Semester],MATCH(tblAttendance[[#This Row],[StudentID]],tblStudents[StudentID],0)),"Unknown")</f>
        <v>1</v>
      </c>
      <c r="E128" s="80">
        <f>IFERROR(INDEX(tblStudents[Year],MATCH(tblAttendance[[#This Row],[StudentID]],tblStudents[StudentID],0)),"Unknown")</f>
        <v>2023</v>
      </c>
      <c r="F128" s="80" t="n">
        <v>182</v>
      </c>
      <c r="G128" s="80" t="n">
        <v>144</v>
      </c>
      <c r="H128" s="83">
        <f>IFERROR(tblAttendance[[#This Row],[Classes Attended]]/tblAttendance[[#This Row],[Classes Held]],0)</f>
        <v>0.791208791208791</v>
      </c>
      <c r="I128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28" s="80">
        <f>IFERROR(INDEX(tblStudents[Total Marks],MATCH(tblAttendance[[#This Row],[StudentID]],tblStudents[StudentID],0)),"Unknown")</f>
        <v>44</v>
      </c>
      <c r="K128" s="82">
        <f>IF(COUNTIFS(tblAttendance[[#This Row],[Branch]],cAt_B,tblAttendance[[#This Row],[Semester]],cAt_S,tblAttendance[[#This Row],[Year]],cAt_Y)=1,tblAttendance[[#This Row],[Attendance %]]+ROW()/1000000000,"")</f>
        <v>0.791208919208791</v>
      </c>
    </row>
    <row r="129">
      <c r="A129" s="79" t="inlineStr">
        <is>
          <t>STU1125</t>
        </is>
      </c>
      <c r="B129" s="79" t="str">
        <f>IFERROR(INDEX(tblStudents[Student Name],MATCH(tblAttendance[[#This Row],[StudentID]],tblStudents[StudentID],0)),"Unknown")</f>
        <v>Kavya Bansal</v>
      </c>
      <c r="C129" s="80" t="str">
        <f>IFERROR(INDEX(tblStudents[Branch],MATCH(tblAttendance[[#This Row],[StudentID]],tblStudents[StudentID],0)),"Unknown")</f>
        <v>ME</v>
      </c>
      <c r="D129" s="80">
        <f>IFERROR(INDEX(tblStudents[Semester],MATCH(tblAttendance[[#This Row],[StudentID]],tblStudents[StudentID],0)),"Unknown")</f>
        <v>7</v>
      </c>
      <c r="E129" s="80">
        <f>IFERROR(INDEX(tblStudents[Year],MATCH(tblAttendance[[#This Row],[StudentID]],tblStudents[StudentID],0)),"Unknown")</f>
        <v>2025</v>
      </c>
      <c r="F129" s="80" t="n">
        <v>162</v>
      </c>
      <c r="G129" s="80" t="n">
        <v>135</v>
      </c>
      <c r="H129" s="83">
        <f>IFERROR(tblAttendance[[#This Row],[Classes Attended]]/tblAttendance[[#This Row],[Classes Held]],0)</f>
        <v>0.833333333333333</v>
      </c>
      <c r="I12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29" s="80">
        <f>IFERROR(INDEX(tblStudents[Total Marks],MATCH(tblAttendance[[#This Row],[StudentID]],tblStudents[StudentID],0)),"Unknown")</f>
        <v>61</v>
      </c>
      <c r="K129" s="82">
        <f>IF(COUNTIFS(tblAttendance[[#This Row],[Branch]],cAt_B,tblAttendance[[#This Row],[Semester]],cAt_S,tblAttendance[[#This Row],[Year]],cAt_Y)=1,tblAttendance[[#This Row],[Attendance %]]+ROW()/1000000000,"")</f>
        <v>0.833333462333333</v>
      </c>
    </row>
    <row r="130">
      <c r="A130" s="79" t="inlineStr">
        <is>
          <t>STU1126</t>
        </is>
      </c>
      <c r="B130" s="79" t="str">
        <f>IFERROR(INDEX(tblStudents[Student Name],MATCH(tblAttendance[[#This Row],[StudentID]],tblStudents[StudentID],0)),"Unknown")</f>
        <v>Kritika Patel</v>
      </c>
      <c r="C130" s="80" t="str">
        <f>IFERROR(INDEX(tblStudents[Branch],MATCH(tblAttendance[[#This Row],[StudentID]],tblStudents[StudentID],0)),"Unknown")</f>
        <v>CSE</v>
      </c>
      <c r="D130" s="80">
        <f>IFERROR(INDEX(tblStudents[Semester],MATCH(tblAttendance[[#This Row],[StudentID]],tblStudents[StudentID],0)),"Unknown")</f>
        <v>6</v>
      </c>
      <c r="E130" s="80">
        <f>IFERROR(INDEX(tblStudents[Year],MATCH(tblAttendance[[#This Row],[StudentID]],tblStudents[StudentID],0)),"Unknown")</f>
        <v>2025</v>
      </c>
      <c r="F130" s="80" t="n">
        <v>158</v>
      </c>
      <c r="G130" s="80" t="n">
        <v>150</v>
      </c>
      <c r="H130" s="83">
        <f>IFERROR(tblAttendance[[#This Row],[Classes Attended]]/tblAttendance[[#This Row],[Classes Held]],0)</f>
        <v>0.949367088607595</v>
      </c>
      <c r="I13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30" s="80">
        <f>IFERROR(INDEX(tblStudents[Total Marks],MATCH(tblAttendance[[#This Row],[StudentID]],tblStudents[StudentID],0)),"Unknown")</f>
        <v>92</v>
      </c>
      <c r="K130" s="82">
        <f>IF(COUNTIFS(tblAttendance[[#This Row],[Branch]],cAt_B,tblAttendance[[#This Row],[Semester]],cAt_S,tblAttendance[[#This Row],[Year]],cAt_Y)=1,tblAttendance[[#This Row],[Attendance %]]+ROW()/1000000000,"")</f>
        <v>0.949367218607595</v>
      </c>
    </row>
    <row r="131">
      <c r="A131" s="79" t="inlineStr">
        <is>
          <t>STU1127</t>
        </is>
      </c>
      <c r="B131" s="79" t="str">
        <f>IFERROR(INDEX(tblStudents[Student Name],MATCH(tblAttendance[[#This Row],[StudentID]],tblStudents[StudentID],0)),"Unknown")</f>
        <v>Bhavna Ansari</v>
      </c>
      <c r="C131" s="80" t="str">
        <f>IFERROR(INDEX(tblStudents[Branch],MATCH(tblAttendance[[#This Row],[StudentID]],tblStudents[StudentID],0)),"Unknown")</f>
        <v>IT</v>
      </c>
      <c r="D131" s="80">
        <f>IFERROR(INDEX(tblStudents[Semester],MATCH(tblAttendance[[#This Row],[StudentID]],tblStudents[StudentID],0)),"Unknown")</f>
        <v>2</v>
      </c>
      <c r="E131" s="80">
        <f>IFERROR(INDEX(tblStudents[Year],MATCH(tblAttendance[[#This Row],[StudentID]],tblStudents[StudentID],0)),"Unknown")</f>
        <v>2023</v>
      </c>
      <c r="F131" s="80" t="n">
        <v>163</v>
      </c>
      <c r="G131" s="80" t="n">
        <v>154</v>
      </c>
      <c r="H131" s="83">
        <f>IFERROR(tblAttendance[[#This Row],[Classes Attended]]/tblAttendance[[#This Row],[Classes Held]],0)</f>
        <v>0.94478527607362</v>
      </c>
      <c r="I13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31" s="80">
        <f>IFERROR(INDEX(tblStudents[Total Marks],MATCH(tblAttendance[[#This Row],[StudentID]],tblStudents[StudentID],0)),"Unknown")</f>
        <v>56</v>
      </c>
      <c r="K131" s="82">
        <f>IF(COUNTIFS(tblAttendance[[#This Row],[Branch]],cAt_B,tblAttendance[[#This Row],[Semester]],cAt_S,tblAttendance[[#This Row],[Year]],cAt_Y)=1,tblAttendance[[#This Row],[Attendance %]]+ROW()/1000000000,"")</f>
        <v>0.94478540707362</v>
      </c>
    </row>
    <row r="132">
      <c r="A132" s="79" t="inlineStr">
        <is>
          <t>STU1128</t>
        </is>
      </c>
      <c r="B132" s="79" t="str">
        <f>IFERROR(INDEX(tblStudents[Student Name],MATCH(tblAttendance[[#This Row],[StudentID]],tblStudents[StudentID],0)),"Unknown")</f>
        <v>Bhavna Tiwari</v>
      </c>
      <c r="C132" s="80" t="str">
        <f>IFERROR(INDEX(tblStudents[Branch],MATCH(tblAttendance[[#This Row],[StudentID]],tblStudents[StudentID],0)),"Unknown")</f>
        <v>CE</v>
      </c>
      <c r="D132" s="80">
        <f>IFERROR(INDEX(tblStudents[Semester],MATCH(tblAttendance[[#This Row],[StudentID]],tblStudents[StudentID],0)),"Unknown")</f>
        <v>6</v>
      </c>
      <c r="E132" s="80">
        <f>IFERROR(INDEX(tblStudents[Year],MATCH(tblAttendance[[#This Row],[StudentID]],tblStudents[StudentID],0)),"Unknown")</f>
        <v>2023</v>
      </c>
      <c r="F132" s="80" t="n">
        <v>153</v>
      </c>
      <c r="G132" s="80" t="n">
        <v>136</v>
      </c>
      <c r="H132" s="83">
        <f>IFERROR(tblAttendance[[#This Row],[Classes Attended]]/tblAttendance[[#This Row],[Classes Held]],0)</f>
        <v>0.888888888888889</v>
      </c>
      <c r="I13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2" s="80">
        <f>IFERROR(INDEX(tblStudents[Total Marks],MATCH(tblAttendance[[#This Row],[StudentID]],tblStudents[StudentID],0)),"Unknown")</f>
        <v>74</v>
      </c>
      <c r="K132" s="82">
        <f>IF(COUNTIFS(tblAttendance[[#This Row],[Branch]],cAt_B,tblAttendance[[#This Row],[Semester]],cAt_S,tblAttendance[[#This Row],[Year]],cAt_Y)=1,tblAttendance[[#This Row],[Attendance %]]+ROW()/1000000000,"")</f>
        <v>0.888889020888889</v>
      </c>
    </row>
    <row r="133">
      <c r="A133" s="79" t="inlineStr">
        <is>
          <t>STU1129</t>
        </is>
      </c>
      <c r="B133" s="79" t="str">
        <f>IFERROR(INDEX(tblStudents[Student Name],MATCH(tblAttendance[[#This Row],[StudentID]],tblStudents[StudentID],0)),"Unknown")</f>
        <v>Gaurav Srivastava</v>
      </c>
      <c r="C133" s="80" t="str">
        <f>IFERROR(INDEX(tblStudents[Branch],MATCH(tblAttendance[[#This Row],[StudentID]],tblStudents[StudentID],0)),"Unknown")</f>
        <v>ECE</v>
      </c>
      <c r="D133" s="80">
        <f>IFERROR(INDEX(tblStudents[Semester],MATCH(tblAttendance[[#This Row],[StudentID]],tblStudents[StudentID],0)),"Unknown")</f>
        <v>1</v>
      </c>
      <c r="E133" s="80">
        <f>IFERROR(INDEX(tblStudents[Year],MATCH(tblAttendance[[#This Row],[StudentID]],tblStudents[StudentID],0)),"Unknown")</f>
        <v>2023</v>
      </c>
      <c r="F133" s="80" t="n">
        <v>181</v>
      </c>
      <c r="G133" s="80" t="n">
        <v>151</v>
      </c>
      <c r="H133" s="83">
        <f>IFERROR(tblAttendance[[#This Row],[Classes Attended]]/tblAttendance[[#This Row],[Classes Held]],0)</f>
        <v>0.834254143646409</v>
      </c>
      <c r="I13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3" s="80">
        <f>IFERROR(INDEX(tblStudents[Total Marks],MATCH(tblAttendance[[#This Row],[StudentID]],tblStudents[StudentID],0)),"Unknown")</f>
        <v>96</v>
      </c>
      <c r="K133" s="82">
        <f>IF(COUNTIFS(tblAttendance[[#This Row],[Branch]],cAt_B,tblAttendance[[#This Row],[Semester]],cAt_S,tblAttendance[[#This Row],[Year]],cAt_Y)=1,tblAttendance[[#This Row],[Attendance %]]+ROW()/1000000000,"")</f>
        <v>0.834254276646409</v>
      </c>
    </row>
    <row r="134">
      <c r="A134" s="79" t="inlineStr">
        <is>
          <t>STU1130</t>
        </is>
      </c>
      <c r="B134" s="79" t="str">
        <f>IFERROR(INDEX(tblStudents[Student Name],MATCH(tblAttendance[[#This Row],[StudentID]],tblStudents[StudentID],0)),"Unknown")</f>
        <v>Nikhil Chaudhary</v>
      </c>
      <c r="C134" s="80" t="str">
        <f>IFERROR(INDEX(tblStudents[Branch],MATCH(tblAttendance[[#This Row],[StudentID]],tblStudents[StudentID],0)),"Unknown")</f>
        <v>ECE</v>
      </c>
      <c r="D134" s="80">
        <f>IFERROR(INDEX(tblStudents[Semester],MATCH(tblAttendance[[#This Row],[StudentID]],tblStudents[StudentID],0)),"Unknown")</f>
        <v>5</v>
      </c>
      <c r="E134" s="80">
        <f>IFERROR(INDEX(tblStudents[Year],MATCH(tblAttendance[[#This Row],[StudentID]],tblStudents[StudentID],0)),"Unknown")</f>
        <v>2026</v>
      </c>
      <c r="F134" s="80" t="n">
        <v>181</v>
      </c>
      <c r="G134" s="80" t="n">
        <v>168</v>
      </c>
      <c r="H134" s="83">
        <f>IFERROR(tblAttendance[[#This Row],[Classes Attended]]/tblAttendance[[#This Row],[Classes Held]],0)</f>
        <v>0.928176795580111</v>
      </c>
      <c r="I13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34" s="80">
        <f>IFERROR(INDEX(tblStudents[Total Marks],MATCH(tblAttendance[[#This Row],[StudentID]],tblStudents[StudentID],0)),"Unknown")</f>
        <v>79</v>
      </c>
      <c r="K134" s="82">
        <f>IF(COUNTIFS(tblAttendance[[#This Row],[Branch]],cAt_B,tblAttendance[[#This Row],[Semester]],cAt_S,tblAttendance[[#This Row],[Year]],cAt_Y)=1,tblAttendance[[#This Row],[Attendance %]]+ROW()/1000000000,"")</f>
        <v>0.92817692958011</v>
      </c>
    </row>
    <row r="135">
      <c r="A135" s="79" t="inlineStr">
        <is>
          <t>STU1131</t>
        </is>
      </c>
      <c r="B135" s="79" t="str">
        <f>IFERROR(INDEX(tblStudents[Student Name],MATCH(tblAttendance[[#This Row],[StudentID]],tblStudents[StudentID],0)),"Unknown")</f>
        <v>Karan Iyer</v>
      </c>
      <c r="C135" s="80" t="str">
        <f>IFERROR(INDEX(tblStudents[Branch],MATCH(tblAttendance[[#This Row],[StudentID]],tblStudents[StudentID],0)),"Unknown")</f>
        <v>ECE</v>
      </c>
      <c r="D135" s="80">
        <f>IFERROR(INDEX(tblStudents[Semester],MATCH(tblAttendance[[#This Row],[StudentID]],tblStudents[StudentID],0)),"Unknown")</f>
        <v>6</v>
      </c>
      <c r="E135" s="80">
        <f>IFERROR(INDEX(tblStudents[Year],MATCH(tblAttendance[[#This Row],[StudentID]],tblStudents[StudentID],0)),"Unknown")</f>
        <v>2024</v>
      </c>
      <c r="F135" s="80" t="n">
        <v>181</v>
      </c>
      <c r="G135" s="80" t="n">
        <v>154</v>
      </c>
      <c r="H135" s="83">
        <f>IFERROR(tblAttendance[[#This Row],[Classes Attended]]/tblAttendance[[#This Row],[Classes Held]],0)</f>
        <v>0.850828729281768</v>
      </c>
      <c r="I135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5" s="80">
        <f>IFERROR(INDEX(tblStudents[Total Marks],MATCH(tblAttendance[[#This Row],[StudentID]],tblStudents[StudentID],0)),"Unknown")</f>
        <v>41</v>
      </c>
      <c r="K135" s="82">
        <f>IF(COUNTIFS(tblAttendance[[#This Row],[Branch]],cAt_B,tblAttendance[[#This Row],[Semester]],cAt_S,tblAttendance[[#This Row],[Year]],cAt_Y)=1,tblAttendance[[#This Row],[Attendance %]]+ROW()/1000000000,"")</f>
        <v>0.850828864281768</v>
      </c>
    </row>
    <row r="136">
      <c r="A136" s="79" t="inlineStr">
        <is>
          <t>STU1132</t>
        </is>
      </c>
      <c r="B136" s="79" t="str">
        <f>IFERROR(INDEX(tblStudents[Student Name],MATCH(tblAttendance[[#This Row],[StudentID]],tblStudents[StudentID],0)),"Unknown")</f>
        <v>Nandini Joshi</v>
      </c>
      <c r="C136" s="80" t="str">
        <f>IFERROR(INDEX(tblStudents[Branch],MATCH(tblAttendance[[#This Row],[StudentID]],tblStudents[StudentID],0)),"Unknown")</f>
        <v>ME</v>
      </c>
      <c r="D136" s="80">
        <f>IFERROR(INDEX(tblStudents[Semester],MATCH(tblAttendance[[#This Row],[StudentID]],tblStudents[StudentID],0)),"Unknown")</f>
        <v>4</v>
      </c>
      <c r="E136" s="80">
        <f>IFERROR(INDEX(tblStudents[Year],MATCH(tblAttendance[[#This Row],[StudentID]],tblStudents[StudentID],0)),"Unknown")</f>
        <v>2025</v>
      </c>
      <c r="F136" s="80" t="n">
        <v>177</v>
      </c>
      <c r="G136" s="80" t="n">
        <v>158</v>
      </c>
      <c r="H136" s="83">
        <f>IFERROR(tblAttendance[[#This Row],[Classes Attended]]/tblAttendance[[#This Row],[Classes Held]],0)</f>
        <v>0.892655367231638</v>
      </c>
      <c r="I13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6" s="80">
        <f>IFERROR(INDEX(tblStudents[Total Marks],MATCH(tblAttendance[[#This Row],[StudentID]],tblStudents[StudentID],0)),"Unknown")</f>
        <v>65</v>
      </c>
      <c r="K136" s="82">
        <f>IF(COUNTIFS(tblAttendance[[#This Row],[Branch]],cAt_B,tblAttendance[[#This Row],[Semester]],cAt_S,tblAttendance[[#This Row],[Year]],cAt_Y)=1,tblAttendance[[#This Row],[Attendance %]]+ROW()/1000000000,"")</f>
        <v>0.892655503231638</v>
      </c>
    </row>
    <row r="137">
      <c r="A137" s="79" t="inlineStr">
        <is>
          <t>STU1133</t>
        </is>
      </c>
      <c r="B137" s="79" t="str">
        <f>IFERROR(INDEX(tblStudents[Student Name],MATCH(tblAttendance[[#This Row],[StudentID]],tblStudents[StudentID],0)),"Unknown")</f>
        <v>Mohit Garg</v>
      </c>
      <c r="C137" s="80" t="str">
        <f>IFERROR(INDEX(tblStudents[Branch],MATCH(tblAttendance[[#This Row],[StudentID]],tblStudents[StudentID],0)),"Unknown")</f>
        <v>ECE</v>
      </c>
      <c r="D137" s="80">
        <f>IFERROR(INDEX(tblStudents[Semester],MATCH(tblAttendance[[#This Row],[StudentID]],tblStudents[StudentID],0)),"Unknown")</f>
        <v>8</v>
      </c>
      <c r="E137" s="80">
        <f>IFERROR(INDEX(tblStudents[Year],MATCH(tblAttendance[[#This Row],[StudentID]],tblStudents[StudentID],0)),"Unknown")</f>
        <v>2023</v>
      </c>
      <c r="F137" s="80" t="n">
        <v>184</v>
      </c>
      <c r="G137" s="80" t="n">
        <v>179</v>
      </c>
      <c r="H137" s="83">
        <f>IFERROR(tblAttendance[[#This Row],[Classes Attended]]/tblAttendance[[#This Row],[Classes Held]],0)</f>
        <v>0.972826086956522</v>
      </c>
      <c r="I13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37" s="80">
        <f>IFERROR(INDEX(tblStudents[Total Marks],MATCH(tblAttendance[[#This Row],[StudentID]],tblStudents[StudentID],0)),"Unknown")</f>
        <v>85</v>
      </c>
      <c r="K137" s="82">
        <f>IF(COUNTIFS(tblAttendance[[#This Row],[Branch]],cAt_B,tblAttendance[[#This Row],[Semester]],cAt_S,tblAttendance[[#This Row],[Year]],cAt_Y)=1,tblAttendance[[#This Row],[Attendance %]]+ROW()/1000000000,"")</f>
        <v>0.972826223956522</v>
      </c>
    </row>
    <row r="138">
      <c r="A138" s="79" t="inlineStr">
        <is>
          <t>STU1134</t>
        </is>
      </c>
      <c r="B138" s="79" t="str">
        <f>IFERROR(INDEX(tblStudents[Student Name],MATCH(tblAttendance[[#This Row],[StudentID]],tblStudents[StudentID],0)),"Unknown")</f>
        <v>Gaurav Shah</v>
      </c>
      <c r="C138" s="80" t="str">
        <f>IFERROR(INDEX(tblStudents[Branch],MATCH(tblAttendance[[#This Row],[StudentID]],tblStudents[StudentID],0)),"Unknown")</f>
        <v>ECE</v>
      </c>
      <c r="D138" s="80">
        <f>IFERROR(INDEX(tblStudents[Semester],MATCH(tblAttendance[[#This Row],[StudentID]],tblStudents[StudentID],0)),"Unknown")</f>
        <v>2</v>
      </c>
      <c r="E138" s="80">
        <f>IFERROR(INDEX(tblStudents[Year],MATCH(tblAttendance[[#This Row],[StudentID]],tblStudents[StudentID],0)),"Unknown")</f>
        <v>2026</v>
      </c>
      <c r="F138" s="80" t="n">
        <v>181</v>
      </c>
      <c r="G138" s="80" t="n">
        <v>154</v>
      </c>
      <c r="H138" s="83">
        <f>IFERROR(tblAttendance[[#This Row],[Classes Attended]]/tblAttendance[[#This Row],[Classes Held]],0)</f>
        <v>0.850828729281768</v>
      </c>
      <c r="I13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38" s="80">
        <f>IFERROR(INDEX(tblStudents[Total Marks],MATCH(tblAttendance[[#This Row],[StudentID]],tblStudents[StudentID],0)),"Unknown")</f>
        <v>45</v>
      </c>
      <c r="K138" s="82">
        <f>IF(COUNTIFS(tblAttendance[[#This Row],[Branch]],cAt_B,tblAttendance[[#This Row],[Semester]],cAt_S,tblAttendance[[#This Row],[Year]],cAt_Y)=1,tblAttendance[[#This Row],[Attendance %]]+ROW()/1000000000,"")</f>
        <v>0.850828867281768</v>
      </c>
    </row>
    <row r="139">
      <c r="A139" s="79" t="inlineStr">
        <is>
          <t>STU1135</t>
        </is>
      </c>
      <c r="B139" s="79" t="str">
        <f>IFERROR(INDEX(tblStudents[Student Name],MATCH(tblAttendance[[#This Row],[StudentID]],tblStudents[StudentID],0)),"Unknown")</f>
        <v>Pooja Tiwari</v>
      </c>
      <c r="C139" s="80" t="str">
        <f>IFERROR(INDEX(tblStudents[Branch],MATCH(tblAttendance[[#This Row],[StudentID]],tblStudents[StudentID],0)),"Unknown")</f>
        <v>CE</v>
      </c>
      <c r="D139" s="80">
        <f>IFERROR(INDEX(tblStudents[Semester],MATCH(tblAttendance[[#This Row],[StudentID]],tblStudents[StudentID],0)),"Unknown")</f>
        <v>5</v>
      </c>
      <c r="E139" s="80">
        <f>IFERROR(INDEX(tblStudents[Year],MATCH(tblAttendance[[#This Row],[StudentID]],tblStudents[StudentID],0)),"Unknown")</f>
        <v>2023</v>
      </c>
      <c r="F139" s="80" t="n">
        <v>161</v>
      </c>
      <c r="G139" s="80" t="n">
        <v>146</v>
      </c>
      <c r="H139" s="83">
        <f>IFERROR(tblAttendance[[#This Row],[Classes Attended]]/tblAttendance[[#This Row],[Classes Held]],0)</f>
        <v>0.906832298136646</v>
      </c>
      <c r="I13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39" s="80">
        <f>IFERROR(INDEX(tblStudents[Total Marks],MATCH(tblAttendance[[#This Row],[StudentID]],tblStudents[StudentID],0)),"Unknown")</f>
        <v>67</v>
      </c>
      <c r="K139" s="82">
        <f>IF(COUNTIFS(tblAttendance[[#This Row],[Branch]],cAt_B,tblAttendance[[#This Row],[Semester]],cAt_S,tblAttendance[[#This Row],[Year]],cAt_Y)=1,tblAttendance[[#This Row],[Attendance %]]+ROW()/1000000000,"")</f>
        <v>0.906832437136646</v>
      </c>
    </row>
    <row r="140">
      <c r="A140" s="79" t="inlineStr">
        <is>
          <t>STU1136</t>
        </is>
      </c>
      <c r="B140" s="79" t="str">
        <f>IFERROR(INDEX(tblStudents[Student Name],MATCH(tblAttendance[[#This Row],[StudentID]],tblStudents[StudentID],0)),"Unknown")</f>
        <v>Meera Bansal</v>
      </c>
      <c r="C140" s="80" t="str">
        <f>IFERROR(INDEX(tblStudents[Branch],MATCH(tblAttendance[[#This Row],[StudentID]],tblStudents[StudentID],0)),"Unknown")</f>
        <v>ME</v>
      </c>
      <c r="D140" s="80">
        <f>IFERROR(INDEX(tblStudents[Semester],MATCH(tblAttendance[[#This Row],[StudentID]],tblStudents[StudentID],0)),"Unknown")</f>
        <v>5</v>
      </c>
      <c r="E140" s="80">
        <f>IFERROR(INDEX(tblStudents[Year],MATCH(tblAttendance[[#This Row],[StudentID]],tblStudents[StudentID],0)),"Unknown")</f>
        <v>2023</v>
      </c>
      <c r="F140" s="80" t="n">
        <v>152</v>
      </c>
      <c r="G140" s="80" t="n">
        <v>108</v>
      </c>
      <c r="H140" s="83">
        <f>IFERROR(tblAttendance[[#This Row],[Classes Attended]]/tblAttendance[[#This Row],[Classes Held]],0)</f>
        <v>0.710526315789474</v>
      </c>
      <c r="I14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40" s="80">
        <f>IFERROR(INDEX(tblStudents[Total Marks],MATCH(tblAttendance[[#This Row],[StudentID]],tblStudents[StudentID],0)),"Unknown")</f>
        <v>72</v>
      </c>
      <c r="K140" s="82">
        <f>IF(COUNTIFS(tblAttendance[[#This Row],[Branch]],cAt_B,tblAttendance[[#This Row],[Semester]],cAt_S,tblAttendance[[#This Row],[Year]],cAt_Y)=1,tblAttendance[[#This Row],[Attendance %]]+ROW()/1000000000,"")</f>
        <v>0.710526455789474</v>
      </c>
    </row>
    <row r="141">
      <c r="A141" s="79" t="inlineStr">
        <is>
          <t>STU1137</t>
        </is>
      </c>
      <c r="B141" s="79" t="str">
        <f>IFERROR(INDEX(tblStudents[Student Name],MATCH(tblAttendance[[#This Row],[StudentID]],tblStudents[StudentID],0)),"Unknown")</f>
        <v>Jhanvi Goel</v>
      </c>
      <c r="C141" s="80" t="str">
        <f>IFERROR(INDEX(tblStudents[Branch],MATCH(tblAttendance[[#This Row],[StudentID]],tblStudents[StudentID],0)),"Unknown")</f>
        <v>ECE</v>
      </c>
      <c r="D141" s="80">
        <f>IFERROR(INDEX(tblStudents[Semester],MATCH(tblAttendance[[#This Row],[StudentID]],tblStudents[StudentID],0)),"Unknown")</f>
        <v>2</v>
      </c>
      <c r="E141" s="80">
        <f>IFERROR(INDEX(tblStudents[Year],MATCH(tblAttendance[[#This Row],[StudentID]],tblStudents[StudentID],0)),"Unknown")</f>
        <v>2024</v>
      </c>
      <c r="F141" s="80" t="n">
        <v>165</v>
      </c>
      <c r="G141" s="80" t="n">
        <v>138</v>
      </c>
      <c r="H141" s="83">
        <f>IFERROR(tblAttendance[[#This Row],[Classes Attended]]/tblAttendance[[#This Row],[Classes Held]],0)</f>
        <v>0.836363636363636</v>
      </c>
      <c r="I14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41" s="80">
        <f>IFERROR(INDEX(tblStudents[Total Marks],MATCH(tblAttendance[[#This Row],[StudentID]],tblStudents[StudentID],0)),"Unknown")</f>
        <v>75</v>
      </c>
      <c r="K141" s="82">
        <f>IF(COUNTIFS(tblAttendance[[#This Row],[Branch]],cAt_B,tblAttendance[[#This Row],[Semester]],cAt_S,tblAttendance[[#This Row],[Year]],cAt_Y)=1,tblAttendance[[#This Row],[Attendance %]]+ROW()/1000000000,"")</f>
        <v>0.836363777363636</v>
      </c>
    </row>
    <row r="142">
      <c r="A142" s="79" t="inlineStr">
        <is>
          <t>STU1138</t>
        </is>
      </c>
      <c r="B142" s="79" t="str">
        <f>IFERROR(INDEX(tblStudents[Student Name],MATCH(tblAttendance[[#This Row],[StudentID]],tblStudents[StudentID],0)),"Unknown")</f>
        <v>Bhavna Siddiqui</v>
      </c>
      <c r="C142" s="80" t="str">
        <f>IFERROR(INDEX(tblStudents[Branch],MATCH(tblAttendance[[#This Row],[StudentID]],tblStudents[StudentID],0)),"Unknown")</f>
        <v>CE</v>
      </c>
      <c r="D142" s="80">
        <f>IFERROR(INDEX(tblStudents[Semester],MATCH(tblAttendance[[#This Row],[StudentID]],tblStudents[StudentID],0)),"Unknown")</f>
        <v>1</v>
      </c>
      <c r="E142" s="80">
        <f>IFERROR(INDEX(tblStudents[Year],MATCH(tblAttendance[[#This Row],[StudentID]],tblStudents[StudentID],0)),"Unknown")</f>
        <v>2023</v>
      </c>
      <c r="F142" s="80" t="n">
        <v>162</v>
      </c>
      <c r="G142" s="80" t="n">
        <v>124</v>
      </c>
      <c r="H142" s="83">
        <f>IFERROR(tblAttendance[[#This Row],[Classes Attended]]/tblAttendance[[#This Row],[Classes Held]],0)</f>
        <v>0.765432098765432</v>
      </c>
      <c r="I14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42" s="80">
        <f>IFERROR(INDEX(tblStudents[Total Marks],MATCH(tblAttendance[[#This Row],[StudentID]],tblStudents[StudentID],0)),"Unknown")</f>
        <v>66</v>
      </c>
      <c r="K142" s="82">
        <f>IF(COUNTIFS(tblAttendance[[#This Row],[Branch]],cAt_B,tblAttendance[[#This Row],[Semester]],cAt_S,tblAttendance[[#This Row],[Year]],cAt_Y)=1,tblAttendance[[#This Row],[Attendance %]]+ROW()/1000000000,"")</f>
        <v>0.765432240765432</v>
      </c>
    </row>
    <row r="143">
      <c r="A143" s="79" t="inlineStr">
        <is>
          <t>STU1139</t>
        </is>
      </c>
      <c r="B143" s="79" t="str">
        <f>IFERROR(INDEX(tblStudents[Student Name],MATCH(tblAttendance[[#This Row],[StudentID]],tblStudents[StudentID],0)),"Unknown")</f>
        <v>Utkarsh Mishra</v>
      </c>
      <c r="C143" s="80" t="str">
        <f>IFERROR(INDEX(tblStudents[Branch],MATCH(tblAttendance[[#This Row],[StudentID]],tblStudents[StudentID],0)),"Unknown")</f>
        <v>ECE</v>
      </c>
      <c r="D143" s="80">
        <f>IFERROR(INDEX(tblStudents[Semester],MATCH(tblAttendance[[#This Row],[StudentID]],tblStudents[StudentID],0)),"Unknown")</f>
        <v>1</v>
      </c>
      <c r="E143" s="80">
        <f>IFERROR(INDEX(tblStudents[Year],MATCH(tblAttendance[[#This Row],[StudentID]],tblStudents[StudentID],0)),"Unknown")</f>
        <v>2024</v>
      </c>
      <c r="F143" s="80" t="n">
        <v>157</v>
      </c>
      <c r="G143" s="80" t="n">
        <v>118</v>
      </c>
      <c r="H143" s="83">
        <f>IFERROR(tblAttendance[[#This Row],[Classes Attended]]/tblAttendance[[#This Row],[Classes Held]],0)</f>
        <v>0.751592356687898</v>
      </c>
      <c r="I143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43" s="80">
        <f>IFERROR(INDEX(tblStudents[Total Marks],MATCH(tblAttendance[[#This Row],[StudentID]],tblStudents[StudentID],0)),"Unknown")</f>
        <v>42</v>
      </c>
      <c r="K143" s="82">
        <f>IF(COUNTIFS(tblAttendance[[#This Row],[Branch]],cAt_B,tblAttendance[[#This Row],[Semester]],cAt_S,tblAttendance[[#This Row],[Year]],cAt_Y)=1,tblAttendance[[#This Row],[Attendance %]]+ROW()/1000000000,"")</f>
        <v>0.751592499687898</v>
      </c>
    </row>
    <row r="144">
      <c r="A144" s="79" t="inlineStr">
        <is>
          <t>STU1140</t>
        </is>
      </c>
      <c r="B144" s="79" t="str">
        <f>IFERROR(INDEX(tblStudents[Student Name],MATCH(tblAttendance[[#This Row],[StudentID]],tblStudents[StudentID],0)),"Unknown")</f>
        <v>Nikhil Gupta</v>
      </c>
      <c r="C144" s="80" t="str">
        <f>IFERROR(INDEX(tblStudents[Branch],MATCH(tblAttendance[[#This Row],[StudentID]],tblStudents[StudentID],0)),"Unknown")</f>
        <v>ECE</v>
      </c>
      <c r="D144" s="80">
        <f>IFERROR(INDEX(tblStudents[Semester],MATCH(tblAttendance[[#This Row],[StudentID]],tblStudents[StudentID],0)),"Unknown")</f>
        <v>8</v>
      </c>
      <c r="E144" s="80">
        <f>IFERROR(INDEX(tblStudents[Year],MATCH(tblAttendance[[#This Row],[StudentID]],tblStudents[StudentID],0)),"Unknown")</f>
        <v>2026</v>
      </c>
      <c r="F144" s="80" t="n">
        <v>183</v>
      </c>
      <c r="G144" s="80" t="n">
        <v>144</v>
      </c>
      <c r="H144" s="83">
        <f>IFERROR(tblAttendance[[#This Row],[Classes Attended]]/tblAttendance[[#This Row],[Classes Held]],0)</f>
        <v>0.786885245901639</v>
      </c>
      <c r="I14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44" s="80">
        <f>IFERROR(INDEX(tblStudents[Total Marks],MATCH(tblAttendance[[#This Row],[StudentID]],tblStudents[StudentID],0)),"Unknown")</f>
        <v>59</v>
      </c>
      <c r="K144" s="82">
        <f>IF(COUNTIFS(tblAttendance[[#This Row],[Branch]],cAt_B,tblAttendance[[#This Row],[Semester]],cAt_S,tblAttendance[[#This Row],[Year]],cAt_Y)=1,tblAttendance[[#This Row],[Attendance %]]+ROW()/1000000000,"")</f>
        <v>0.786885389901639</v>
      </c>
    </row>
    <row r="145">
      <c r="A145" s="79" t="inlineStr">
        <is>
          <t>STU1141</t>
        </is>
      </c>
      <c r="B145" s="79" t="str">
        <f>IFERROR(INDEX(tblStudents[Student Name],MATCH(tblAttendance[[#This Row],[StudentID]],tblStudents[StudentID],0)),"Unknown")</f>
        <v>Bhavna Kumar</v>
      </c>
      <c r="C145" s="80" t="str">
        <f>IFERROR(INDEX(tblStudents[Branch],MATCH(tblAttendance[[#This Row],[StudentID]],tblStudents[StudentID],0)),"Unknown")</f>
        <v>IT</v>
      </c>
      <c r="D145" s="80">
        <f>IFERROR(INDEX(tblStudents[Semester],MATCH(tblAttendance[[#This Row],[StudentID]],tblStudents[StudentID],0)),"Unknown")</f>
        <v>5</v>
      </c>
      <c r="E145" s="80">
        <f>IFERROR(INDEX(tblStudents[Year],MATCH(tblAttendance[[#This Row],[StudentID]],tblStudents[StudentID],0)),"Unknown")</f>
        <v>2026</v>
      </c>
      <c r="F145" s="80" t="n">
        <v>169</v>
      </c>
      <c r="G145" s="80" t="n">
        <v>135</v>
      </c>
      <c r="H145" s="83">
        <f>IFERROR(tblAttendance[[#This Row],[Classes Attended]]/tblAttendance[[#This Row],[Classes Held]],0)</f>
        <v>0.798816568047337</v>
      </c>
      <c r="I145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45" s="80">
        <f>IFERROR(INDEX(tblStudents[Total Marks],MATCH(tblAttendance[[#This Row],[StudentID]],tblStudents[StudentID],0)),"Unknown")</f>
        <v>73</v>
      </c>
      <c r="K145" s="82">
        <f>IF(COUNTIFS(tblAttendance[[#This Row],[Branch]],cAt_B,tblAttendance[[#This Row],[Semester]],cAt_S,tblAttendance[[#This Row],[Year]],cAt_Y)=1,tblAttendance[[#This Row],[Attendance %]]+ROW()/1000000000,"")</f>
        <v>0.798816713047337</v>
      </c>
    </row>
    <row r="146">
      <c r="A146" s="79" t="inlineStr">
        <is>
          <t>STU1142</t>
        </is>
      </c>
      <c r="B146" s="79" t="str">
        <f>IFERROR(INDEX(tblStudents[Student Name],MATCH(tblAttendance[[#This Row],[StudentID]],tblStudents[StudentID],0)),"Unknown")</f>
        <v>Arjun Malik</v>
      </c>
      <c r="C146" s="80" t="str">
        <f>IFERROR(INDEX(tblStudents[Branch],MATCH(tblAttendance[[#This Row],[StudentID]],tblStudents[StudentID],0)),"Unknown")</f>
        <v>CSE</v>
      </c>
      <c r="D146" s="80">
        <f>IFERROR(INDEX(tblStudents[Semester],MATCH(tblAttendance[[#This Row],[StudentID]],tblStudents[StudentID],0)),"Unknown")</f>
        <v>4</v>
      </c>
      <c r="E146" s="80">
        <f>IFERROR(INDEX(tblStudents[Year],MATCH(tblAttendance[[#This Row],[StudentID]],tblStudents[StudentID],0)),"Unknown")</f>
        <v>2023</v>
      </c>
      <c r="F146" s="80" t="n">
        <v>162</v>
      </c>
      <c r="G146" s="80" t="n">
        <v>135</v>
      </c>
      <c r="H146" s="83">
        <f>IFERROR(tblAttendance[[#This Row],[Classes Attended]]/tblAttendance[[#This Row],[Classes Held]],0)</f>
        <v>0.833333333333333</v>
      </c>
      <c r="I14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46" s="80">
        <f>IFERROR(INDEX(tblStudents[Total Marks],MATCH(tblAttendance[[#This Row],[StudentID]],tblStudents[StudentID],0)),"Unknown")</f>
        <v>73</v>
      </c>
      <c r="K146" s="82">
        <f>IF(COUNTIFS(tblAttendance[[#This Row],[Branch]],cAt_B,tblAttendance[[#This Row],[Semester]],cAt_S,tblAttendance[[#This Row],[Year]],cAt_Y)=1,tblAttendance[[#This Row],[Attendance %]]+ROW()/1000000000,"")</f>
        <v>0.833333479333333</v>
      </c>
    </row>
    <row r="147">
      <c r="A147" s="79" t="inlineStr">
        <is>
          <t>STU1143</t>
        </is>
      </c>
      <c r="B147" s="79" t="str">
        <f>IFERROR(INDEX(tblStudents[Student Name],MATCH(tblAttendance[[#This Row],[StudentID]],tblStudents[StudentID],0)),"Unknown")</f>
        <v>Pooja Patel</v>
      </c>
      <c r="C147" s="80" t="str">
        <f>IFERROR(INDEX(tblStudents[Branch],MATCH(tblAttendance[[#This Row],[StudentID]],tblStudents[StudentID],0)),"Unknown")</f>
        <v>ME</v>
      </c>
      <c r="D147" s="80">
        <f>IFERROR(INDEX(tblStudents[Semester],MATCH(tblAttendance[[#This Row],[StudentID]],tblStudents[StudentID],0)),"Unknown")</f>
        <v>6</v>
      </c>
      <c r="E147" s="80">
        <f>IFERROR(INDEX(tblStudents[Year],MATCH(tblAttendance[[#This Row],[StudentID]],tblStudents[StudentID],0)),"Unknown")</f>
        <v>2025</v>
      </c>
      <c r="F147" s="80" t="n">
        <v>151</v>
      </c>
      <c r="G147" s="80" t="n">
        <v>136</v>
      </c>
      <c r="H147" s="83">
        <f>IFERROR(tblAttendance[[#This Row],[Classes Attended]]/tblAttendance[[#This Row],[Classes Held]],0)</f>
        <v>0.900662251655629</v>
      </c>
      <c r="I14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47" s="80">
        <f>IFERROR(INDEX(tblStudents[Total Marks],MATCH(tblAttendance[[#This Row],[StudentID]],tblStudents[StudentID],0)),"Unknown")</f>
        <v>78</v>
      </c>
      <c r="K147" s="82">
        <f>IF(COUNTIFS(tblAttendance[[#This Row],[Branch]],cAt_B,tblAttendance[[#This Row],[Semester]],cAt_S,tblAttendance[[#This Row],[Year]],cAt_Y)=1,tblAttendance[[#This Row],[Attendance %]]+ROW()/1000000000,"")</f>
        <v>0.900662398655629</v>
      </c>
    </row>
    <row r="148">
      <c r="A148" s="79" t="inlineStr">
        <is>
          <t>STU1144</t>
        </is>
      </c>
      <c r="B148" s="79" t="str">
        <f>IFERROR(INDEX(tblStudents[Student Name],MATCH(tblAttendance[[#This Row],[StudentID]],tblStudents[StudentID],0)),"Unknown")</f>
        <v>Srishti Gupta</v>
      </c>
      <c r="C148" s="80" t="str">
        <f>IFERROR(INDEX(tblStudents[Branch],MATCH(tblAttendance[[#This Row],[StudentID]],tblStudents[StudentID],0)),"Unknown")</f>
        <v>ME</v>
      </c>
      <c r="D148" s="80">
        <f>IFERROR(INDEX(tblStudents[Semester],MATCH(tblAttendance[[#This Row],[StudentID]],tblStudents[StudentID],0)),"Unknown")</f>
        <v>2</v>
      </c>
      <c r="E148" s="80">
        <f>IFERROR(INDEX(tblStudents[Year],MATCH(tblAttendance[[#This Row],[StudentID]],tblStudents[StudentID],0)),"Unknown")</f>
        <v>2024</v>
      </c>
      <c r="F148" s="80" t="n">
        <v>152</v>
      </c>
      <c r="G148" s="80" t="n">
        <v>127</v>
      </c>
      <c r="H148" s="83">
        <f>IFERROR(tblAttendance[[#This Row],[Classes Attended]]/tblAttendance[[#This Row],[Classes Held]],0)</f>
        <v>0.835526315789474</v>
      </c>
      <c r="I148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48" s="80">
        <f>IFERROR(INDEX(tblStudents[Total Marks],MATCH(tblAttendance[[#This Row],[StudentID]],tblStudents[StudentID],0)),"Unknown")</f>
        <v>53</v>
      </c>
      <c r="K148" s="82">
        <f>IF(COUNTIFS(tblAttendance[[#This Row],[Branch]],cAt_B,tblAttendance[[#This Row],[Semester]],cAt_S,tblAttendance[[#This Row],[Year]],cAt_Y)=1,tblAttendance[[#This Row],[Attendance %]]+ROW()/1000000000,"")</f>
        <v>0.835526463789474</v>
      </c>
    </row>
    <row r="149">
      <c r="A149" s="79" t="inlineStr">
        <is>
          <t>STU1145</t>
        </is>
      </c>
      <c r="B149" s="79" t="str">
        <f>IFERROR(INDEX(tblStudents[Student Name],MATCH(tblAttendance[[#This Row],[StudentID]],tblStudents[StudentID],0)),"Unknown")</f>
        <v>Yash Banerjee</v>
      </c>
      <c r="C149" s="80" t="str">
        <f>IFERROR(INDEX(tblStudents[Branch],MATCH(tblAttendance[[#This Row],[StudentID]],tblStudents[StudentID],0)),"Unknown")</f>
        <v>ME</v>
      </c>
      <c r="D149" s="80">
        <f>IFERROR(INDEX(tblStudents[Semester],MATCH(tblAttendance[[#This Row],[StudentID]],tblStudents[StudentID],0)),"Unknown")</f>
        <v>3</v>
      </c>
      <c r="E149" s="80">
        <f>IFERROR(INDEX(tblStudents[Year],MATCH(tblAttendance[[#This Row],[StudentID]],tblStudents[StudentID],0)),"Unknown")</f>
        <v>2024</v>
      </c>
      <c r="F149" s="80" t="n">
        <v>155</v>
      </c>
      <c r="G149" s="80" t="n">
        <v>153</v>
      </c>
      <c r="H149" s="83">
        <f>IFERROR(tblAttendance[[#This Row],[Classes Attended]]/tblAttendance[[#This Row],[Classes Held]],0)</f>
        <v>0.987096774193548</v>
      </c>
      <c r="I14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49" s="80">
        <f>IFERROR(INDEX(tblStudents[Total Marks],MATCH(tblAttendance[[#This Row],[StudentID]],tblStudents[StudentID],0)),"Unknown")</f>
        <v>89</v>
      </c>
      <c r="K149" s="82">
        <f>IF(COUNTIFS(tblAttendance[[#This Row],[Branch]],cAt_B,tblAttendance[[#This Row],[Semester]],cAt_S,tblAttendance[[#This Row],[Year]],cAt_Y)=1,tblAttendance[[#This Row],[Attendance %]]+ROW()/1000000000,"")</f>
        <v>0.987096923193548</v>
      </c>
    </row>
    <row r="150">
      <c r="A150" s="79" t="inlineStr">
        <is>
          <t>STU1146</t>
        </is>
      </c>
      <c r="B150" s="79" t="str">
        <f>IFERROR(INDEX(tblStudents[Student Name],MATCH(tblAttendance[[#This Row],[StudentID]],tblStudents[StudentID],0)),"Unknown")</f>
        <v>Neha Pandey</v>
      </c>
      <c r="C150" s="80" t="str">
        <f>IFERROR(INDEX(tblStudents[Branch],MATCH(tblAttendance[[#This Row],[StudentID]],tblStudents[StudentID],0)),"Unknown")</f>
        <v>IT</v>
      </c>
      <c r="D150" s="80">
        <f>IFERROR(INDEX(tblStudents[Semester],MATCH(tblAttendance[[#This Row],[StudentID]],tblStudents[StudentID],0)),"Unknown")</f>
        <v>2</v>
      </c>
      <c r="E150" s="80">
        <f>IFERROR(INDEX(tblStudents[Year],MATCH(tblAttendance[[#This Row],[StudentID]],tblStudents[StudentID],0)),"Unknown")</f>
        <v>2026</v>
      </c>
      <c r="F150" s="80" t="n">
        <v>161</v>
      </c>
      <c r="G150" s="80" t="n">
        <v>145</v>
      </c>
      <c r="H150" s="83">
        <f>IFERROR(tblAttendance[[#This Row],[Classes Attended]]/tblAttendance[[#This Row],[Classes Held]],0)</f>
        <v>0.900621118012422</v>
      </c>
      <c r="I15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50" s="80">
        <f>IFERROR(INDEX(tblStudents[Total Marks],MATCH(tblAttendance[[#This Row],[StudentID]],tblStudents[StudentID],0)),"Unknown")</f>
        <v>88</v>
      </c>
      <c r="K150" s="82">
        <f>IF(COUNTIFS(tblAttendance[[#This Row],[Branch]],cAt_B,tblAttendance[[#This Row],[Semester]],cAt_S,tblAttendance[[#This Row],[Year]],cAt_Y)=1,tblAttendance[[#This Row],[Attendance %]]+ROW()/1000000000,"")</f>
        <v>0.900621268012422</v>
      </c>
    </row>
    <row r="151">
      <c r="A151" s="79" t="inlineStr">
        <is>
          <t>STU1147</t>
        </is>
      </c>
      <c r="B151" s="79" t="str">
        <f>IFERROR(INDEX(tblStudents[Student Name],MATCH(tblAttendance[[#This Row],[StudentID]],tblStudents[StudentID],0)),"Unknown")</f>
        <v>Ankit Banerjee</v>
      </c>
      <c r="C151" s="80" t="str">
        <f>IFERROR(INDEX(tblStudents[Branch],MATCH(tblAttendance[[#This Row],[StudentID]],tblStudents[StudentID],0)),"Unknown")</f>
        <v>IT</v>
      </c>
      <c r="D151" s="80">
        <f>IFERROR(INDEX(tblStudents[Semester],MATCH(tblAttendance[[#This Row],[StudentID]],tblStudents[StudentID],0)),"Unknown")</f>
        <v>7</v>
      </c>
      <c r="E151" s="80">
        <f>IFERROR(INDEX(tblStudents[Year],MATCH(tblAttendance[[#This Row],[StudentID]],tblStudents[StudentID],0)),"Unknown")</f>
        <v>2026</v>
      </c>
      <c r="F151" s="80" t="n">
        <v>174</v>
      </c>
      <c r="G151" s="80" t="n">
        <v>148</v>
      </c>
      <c r="H151" s="83">
        <f>IFERROR(tblAttendance[[#This Row],[Classes Attended]]/tblAttendance[[#This Row],[Classes Held]],0)</f>
        <v>0.850574712643678</v>
      </c>
      <c r="I15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51" s="80">
        <f>IFERROR(INDEX(tblStudents[Total Marks],MATCH(tblAttendance[[#This Row],[StudentID]],tblStudents[StudentID],0)),"Unknown")</f>
        <v>68</v>
      </c>
      <c r="K151" s="82">
        <f>IF(COUNTIFS(tblAttendance[[#This Row],[Branch]],cAt_B,tblAttendance[[#This Row],[Semester]],cAt_S,tblAttendance[[#This Row],[Year]],cAt_Y)=1,tblAttendance[[#This Row],[Attendance %]]+ROW()/1000000000,"")</f>
        <v>0.850574863643678</v>
      </c>
    </row>
    <row r="152">
      <c r="A152" s="79" t="inlineStr">
        <is>
          <t>STU1148</t>
        </is>
      </c>
      <c r="B152" s="79" t="str">
        <f>IFERROR(INDEX(tblStudents[Student Name],MATCH(tblAttendance[[#This Row],[StudentID]],tblStudents[StudentID],0)),"Unknown")</f>
        <v>Yash Mishra</v>
      </c>
      <c r="C152" s="80" t="str">
        <f>IFERROR(INDEX(tblStudents[Branch],MATCH(tblAttendance[[#This Row],[StudentID]],tblStudents[StudentID],0)),"Unknown")</f>
        <v>ECE</v>
      </c>
      <c r="D152" s="80">
        <f>IFERROR(INDEX(tblStudents[Semester],MATCH(tblAttendance[[#This Row],[StudentID]],tblStudents[StudentID],0)),"Unknown")</f>
        <v>7</v>
      </c>
      <c r="E152" s="80">
        <f>IFERROR(INDEX(tblStudents[Year],MATCH(tblAttendance[[#This Row],[StudentID]],tblStudents[StudentID],0)),"Unknown")</f>
        <v>2024</v>
      </c>
      <c r="F152" s="80" t="n">
        <v>174</v>
      </c>
      <c r="G152" s="80" t="n">
        <v>145</v>
      </c>
      <c r="H152" s="83">
        <f>IFERROR(tblAttendance[[#This Row],[Classes Attended]]/tblAttendance[[#This Row],[Classes Held]],0)</f>
        <v>0.833333333333333</v>
      </c>
      <c r="I15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52" s="80">
        <f>IFERROR(INDEX(tblStudents[Total Marks],MATCH(tblAttendance[[#This Row],[StudentID]],tblStudents[StudentID],0)),"Unknown")</f>
        <v>70</v>
      </c>
      <c r="K152" s="82">
        <f>IF(COUNTIFS(tblAttendance[[#This Row],[Branch]],cAt_B,tblAttendance[[#This Row],[Semester]],cAt_S,tblAttendance[[#This Row],[Year]],cAt_Y)=1,tblAttendance[[#This Row],[Attendance %]]+ROW()/1000000000,"")</f>
        <v>0.833333485333333</v>
      </c>
    </row>
    <row r="153">
      <c r="A153" s="79" t="inlineStr">
        <is>
          <t>STU1149</t>
        </is>
      </c>
      <c r="B153" s="79" t="str">
        <f>IFERROR(INDEX(tblStudents[Student Name],MATCH(tblAttendance[[#This Row],[StudentID]],tblStudents[StudentID],0)),"Unknown")</f>
        <v>Deepak Siddiqui</v>
      </c>
      <c r="C153" s="80" t="str">
        <f>IFERROR(INDEX(tblStudents[Branch],MATCH(tblAttendance[[#This Row],[StudentID]],tblStudents[StudentID],0)),"Unknown")</f>
        <v>CE</v>
      </c>
      <c r="D153" s="80">
        <f>IFERROR(INDEX(tblStudents[Semester],MATCH(tblAttendance[[#This Row],[StudentID]],tblStudents[StudentID],0)),"Unknown")</f>
        <v>3</v>
      </c>
      <c r="E153" s="80">
        <f>IFERROR(INDEX(tblStudents[Year],MATCH(tblAttendance[[#This Row],[StudentID]],tblStudents[StudentID],0)),"Unknown")</f>
        <v>2025</v>
      </c>
      <c r="F153" s="80" t="n">
        <v>150</v>
      </c>
      <c r="G153" s="80" t="n">
        <v>146</v>
      </c>
      <c r="H153" s="83">
        <f>IFERROR(tblAttendance[[#This Row],[Classes Attended]]/tblAttendance[[#This Row],[Classes Held]],0)</f>
        <v>0.973333333333333</v>
      </c>
      <c r="I15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53" s="80">
        <f>IFERROR(INDEX(tblStudents[Total Marks],MATCH(tblAttendance[[#This Row],[StudentID]],tblStudents[StudentID],0)),"Unknown")</f>
        <v>96</v>
      </c>
      <c r="K153" s="82">
        <f>IF(COUNTIFS(tblAttendance[[#This Row],[Branch]],cAt_B,tblAttendance[[#This Row],[Semester]],cAt_S,tblAttendance[[#This Row],[Year]],cAt_Y)=1,tblAttendance[[#This Row],[Attendance %]]+ROW()/1000000000,"")</f>
        <v>0.973333486333333</v>
      </c>
    </row>
    <row r="154">
      <c r="A154" s="79" t="inlineStr">
        <is>
          <t>STU1150</t>
        </is>
      </c>
      <c r="B154" s="79" t="str">
        <f>IFERROR(INDEX(tblStudents[Student Name],MATCH(tblAttendance[[#This Row],[StudentID]],tblStudents[StudentID],0)),"Unknown")</f>
        <v>Tanvi Rastogi</v>
      </c>
      <c r="C154" s="80" t="str">
        <f>IFERROR(INDEX(tblStudents[Branch],MATCH(tblAttendance[[#This Row],[StudentID]],tblStudents[StudentID],0)),"Unknown")</f>
        <v>CE</v>
      </c>
      <c r="D154" s="80">
        <f>IFERROR(INDEX(tblStudents[Semester],MATCH(tblAttendance[[#This Row],[StudentID]],tblStudents[StudentID],0)),"Unknown")</f>
        <v>7</v>
      </c>
      <c r="E154" s="80">
        <f>IFERROR(INDEX(tblStudents[Year],MATCH(tblAttendance[[#This Row],[StudentID]],tblStudents[StudentID],0)),"Unknown")</f>
        <v>2026</v>
      </c>
      <c r="F154" s="80" t="n">
        <v>170</v>
      </c>
      <c r="G154" s="80" t="n">
        <v>117</v>
      </c>
      <c r="H154" s="83">
        <f>IFERROR(tblAttendance[[#This Row],[Classes Attended]]/tblAttendance[[#This Row],[Classes Held]],0)</f>
        <v>0.688235294117647</v>
      </c>
      <c r="I154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54" s="80">
        <f>IFERROR(INDEX(tblStudents[Total Marks],MATCH(tblAttendance[[#This Row],[StudentID]],tblStudents[StudentID],0)),"Unknown")</f>
        <v>38</v>
      </c>
      <c r="K154" s="82">
        <f>IF(COUNTIFS(tblAttendance[[#This Row],[Branch]],cAt_B,tblAttendance[[#This Row],[Semester]],cAt_S,tblAttendance[[#This Row],[Year]],cAt_Y)=1,tblAttendance[[#This Row],[Attendance %]]+ROW()/1000000000,"")</f>
        <v>0.688235448117647</v>
      </c>
    </row>
    <row r="155">
      <c r="A155" s="79" t="inlineStr">
        <is>
          <t>STU1151</t>
        </is>
      </c>
      <c r="B155" s="79" t="str">
        <f>IFERROR(INDEX(tblStudents[Student Name],MATCH(tblAttendance[[#This Row],[StudentID]],tblStudents[StudentID],0)),"Unknown")</f>
        <v>Parth Chauhan</v>
      </c>
      <c r="C155" s="80" t="str">
        <f>IFERROR(INDEX(tblStudents[Branch],MATCH(tblAttendance[[#This Row],[StudentID]],tblStudents[StudentID],0)),"Unknown")</f>
        <v>CSE</v>
      </c>
      <c r="D155" s="80">
        <f>IFERROR(INDEX(tblStudents[Semester],MATCH(tblAttendance[[#This Row],[StudentID]],tblStudents[StudentID],0)),"Unknown")</f>
        <v>3</v>
      </c>
      <c r="E155" s="80">
        <f>IFERROR(INDEX(tblStudents[Year],MATCH(tblAttendance[[#This Row],[StudentID]],tblStudents[StudentID],0)),"Unknown")</f>
        <v>2025</v>
      </c>
      <c r="F155" s="80" t="n">
        <v>190</v>
      </c>
      <c r="G155" s="80" t="n">
        <v>188</v>
      </c>
      <c r="H155" s="83">
        <f>IFERROR(tblAttendance[[#This Row],[Classes Attended]]/tblAttendance[[#This Row],[Classes Held]],0)</f>
        <v>0.989473684210526</v>
      </c>
      <c r="I15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55" s="80">
        <f>IFERROR(INDEX(tblStudents[Total Marks],MATCH(tblAttendance[[#This Row],[StudentID]],tblStudents[StudentID],0)),"Unknown")</f>
        <v>77</v>
      </c>
      <c r="K155" s="82">
        <f>IF(COUNTIFS(tblAttendance[[#This Row],[Branch]],cAt_B,tblAttendance[[#This Row],[Semester]],cAt_S,tblAttendance[[#This Row],[Year]],cAt_Y)=1,tblAttendance[[#This Row],[Attendance %]]+ROW()/1000000000,"")</f>
        <v>0.989473839210526</v>
      </c>
    </row>
    <row r="156">
      <c r="A156" s="79" t="inlineStr">
        <is>
          <t>STU1152</t>
        </is>
      </c>
      <c r="B156" s="79" t="str">
        <f>IFERROR(INDEX(tblStudents[Student Name],MATCH(tblAttendance[[#This Row],[StudentID]],tblStudents[StudentID],0)),"Unknown")</f>
        <v>Varun Verma</v>
      </c>
      <c r="C156" s="80" t="str">
        <f>IFERROR(INDEX(tblStudents[Branch],MATCH(tblAttendance[[#This Row],[StudentID]],tblStudents[StudentID],0)),"Unknown")</f>
        <v>CE</v>
      </c>
      <c r="D156" s="80">
        <f>IFERROR(INDEX(tblStudents[Semester],MATCH(tblAttendance[[#This Row],[StudentID]],tblStudents[StudentID],0)),"Unknown")</f>
        <v>6</v>
      </c>
      <c r="E156" s="80">
        <f>IFERROR(INDEX(tblStudents[Year],MATCH(tblAttendance[[#This Row],[StudentID]],tblStudents[StudentID],0)),"Unknown")</f>
        <v>2023</v>
      </c>
      <c r="F156" s="80" t="n">
        <v>164</v>
      </c>
      <c r="G156" s="80" t="n">
        <v>132</v>
      </c>
      <c r="H156" s="83">
        <f>IFERROR(tblAttendance[[#This Row],[Classes Attended]]/tblAttendance[[#This Row],[Classes Held]],0)</f>
        <v>0.804878048780488</v>
      </c>
      <c r="I15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56" s="80">
        <f>IFERROR(INDEX(tblStudents[Total Marks],MATCH(tblAttendance[[#This Row],[StudentID]],tblStudents[StudentID],0)),"Unknown")</f>
        <v>63</v>
      </c>
      <c r="K156" s="82">
        <f>IF(COUNTIFS(tblAttendance[[#This Row],[Branch]],cAt_B,tblAttendance[[#This Row],[Semester]],cAt_S,tblAttendance[[#This Row],[Year]],cAt_Y)=1,tblAttendance[[#This Row],[Attendance %]]+ROW()/1000000000,"")</f>
        <v>0.804878204780488</v>
      </c>
    </row>
    <row r="157">
      <c r="A157" s="79" t="inlineStr">
        <is>
          <t>STU1153</t>
        </is>
      </c>
      <c r="B157" s="79" t="str">
        <f>IFERROR(INDEX(tblStudents[Student Name],MATCH(tblAttendance[[#This Row],[StudentID]],tblStudents[StudentID],0)),"Unknown")</f>
        <v>Ananya Malik</v>
      </c>
      <c r="C157" s="80" t="str">
        <f>IFERROR(INDEX(tblStudents[Branch],MATCH(tblAttendance[[#This Row],[StudentID]],tblStudents[StudentID],0)),"Unknown")</f>
        <v>CSE</v>
      </c>
      <c r="D157" s="80">
        <f>IFERROR(INDEX(tblStudents[Semester],MATCH(tblAttendance[[#This Row],[StudentID]],tblStudents[StudentID],0)),"Unknown")</f>
        <v>2</v>
      </c>
      <c r="E157" s="80">
        <f>IFERROR(INDEX(tblStudents[Year],MATCH(tblAttendance[[#This Row],[StudentID]],tblStudents[StudentID],0)),"Unknown")</f>
        <v>2026</v>
      </c>
      <c r="F157" s="80" t="n">
        <v>171</v>
      </c>
      <c r="G157" s="80" t="n">
        <v>146</v>
      </c>
      <c r="H157" s="83">
        <f>IFERROR(tblAttendance[[#This Row],[Classes Attended]]/tblAttendance[[#This Row],[Classes Held]],0)</f>
        <v>0.853801169590643</v>
      </c>
      <c r="I15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57" s="80">
        <f>IFERROR(INDEX(tblStudents[Total Marks],MATCH(tblAttendance[[#This Row],[StudentID]],tblStudents[StudentID],0)),"Unknown")</f>
        <v>79</v>
      </c>
      <c r="K157" s="82">
        <f>IF(COUNTIFS(tblAttendance[[#This Row],[Branch]],cAt_B,tblAttendance[[#This Row],[Semester]],cAt_S,tblAttendance[[#This Row],[Year]],cAt_Y)=1,tblAttendance[[#This Row],[Attendance %]]+ROW()/1000000000,"")</f>
        <v>0.853801326590643</v>
      </c>
    </row>
    <row r="158">
      <c r="A158" s="79" t="inlineStr">
        <is>
          <t>STU1154</t>
        </is>
      </c>
      <c r="B158" s="79" t="str">
        <f>IFERROR(INDEX(tblStudents[Student Name],MATCH(tblAttendance[[#This Row],[StudentID]],tblStudents[StudentID],0)),"Unknown")</f>
        <v>Anjali Nair</v>
      </c>
      <c r="C158" s="80" t="str">
        <f>IFERROR(INDEX(tblStudents[Branch],MATCH(tblAttendance[[#This Row],[StudentID]],tblStudents[StudentID],0)),"Unknown")</f>
        <v>ME</v>
      </c>
      <c r="D158" s="80">
        <f>IFERROR(INDEX(tblStudents[Semester],MATCH(tblAttendance[[#This Row],[StudentID]],tblStudents[StudentID],0)),"Unknown")</f>
        <v>7</v>
      </c>
      <c r="E158" s="80">
        <f>IFERROR(INDEX(tblStudents[Year],MATCH(tblAttendance[[#This Row],[StudentID]],tblStudents[StudentID],0)),"Unknown")</f>
        <v>2024</v>
      </c>
      <c r="F158" s="80" t="n">
        <v>151</v>
      </c>
      <c r="G158" s="80" t="n">
        <v>116</v>
      </c>
      <c r="H158" s="83">
        <f>IFERROR(tblAttendance[[#This Row],[Classes Attended]]/tblAttendance[[#This Row],[Classes Held]],0)</f>
        <v>0.768211920529801</v>
      </c>
      <c r="I158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58" s="80">
        <f>IFERROR(INDEX(tblStudents[Total Marks],MATCH(tblAttendance[[#This Row],[StudentID]],tblStudents[StudentID],0)),"Unknown")</f>
        <v>74</v>
      </c>
      <c r="K158" s="82">
        <f>IF(COUNTIFS(tblAttendance[[#This Row],[Branch]],cAt_B,tblAttendance[[#This Row],[Semester]],cAt_S,tblAttendance[[#This Row],[Year]],cAt_Y)=1,tblAttendance[[#This Row],[Attendance %]]+ROW()/1000000000,"")</f>
        <v>0.768212078529801</v>
      </c>
    </row>
    <row r="159">
      <c r="A159" s="79" t="inlineStr">
        <is>
          <t>STU1155</t>
        </is>
      </c>
      <c r="B159" s="79" t="str">
        <f>IFERROR(INDEX(tblStudents[Student Name],MATCH(tblAttendance[[#This Row],[StudentID]],tblStudents[StudentID],0)),"Unknown")</f>
        <v>Varun Iyer</v>
      </c>
      <c r="C159" s="80" t="str">
        <f>IFERROR(INDEX(tblStudents[Branch],MATCH(tblAttendance[[#This Row],[StudentID]],tblStudents[StudentID],0)),"Unknown")</f>
        <v>CE</v>
      </c>
      <c r="D159" s="80">
        <f>IFERROR(INDEX(tblStudents[Semester],MATCH(tblAttendance[[#This Row],[StudentID]],tblStudents[StudentID],0)),"Unknown")</f>
        <v>3</v>
      </c>
      <c r="E159" s="80">
        <f>IFERROR(INDEX(tblStudents[Year],MATCH(tblAttendance[[#This Row],[StudentID]],tblStudents[StudentID],0)),"Unknown")</f>
        <v>2023</v>
      </c>
      <c r="F159" s="80" t="n">
        <v>153</v>
      </c>
      <c r="G159" s="80" t="n">
        <v>100</v>
      </c>
      <c r="H159" s="83">
        <f>IFERROR(tblAttendance[[#This Row],[Classes Attended]]/tblAttendance[[#This Row],[Classes Held]],0)</f>
        <v>0.65359477124183</v>
      </c>
      <c r="I159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59" s="80">
        <f>IFERROR(INDEX(tblStudents[Total Marks],MATCH(tblAttendance[[#This Row],[StudentID]],tblStudents[StudentID],0)),"Unknown")</f>
        <v>52</v>
      </c>
      <c r="K159" s="82">
        <f>IF(COUNTIFS(tblAttendance[[#This Row],[Branch]],cAt_B,tblAttendance[[#This Row],[Semester]],cAt_S,tblAttendance[[#This Row],[Year]],cAt_Y)=1,tblAttendance[[#This Row],[Attendance %]]+ROW()/1000000000,"")</f>
        <v>0.65359493024183</v>
      </c>
    </row>
    <row r="160">
      <c r="A160" s="79" t="inlineStr">
        <is>
          <t>STU1156</t>
        </is>
      </c>
      <c r="B160" s="79" t="str">
        <f>IFERROR(INDEX(tblStudents[Student Name],MATCH(tblAttendance[[#This Row],[StudentID]],tblStudents[StudentID],0)),"Unknown")</f>
        <v>Bhavna Singh</v>
      </c>
      <c r="C160" s="80" t="str">
        <f>IFERROR(INDEX(tblStudents[Branch],MATCH(tblAttendance[[#This Row],[StudentID]],tblStudents[StudentID],0)),"Unknown")</f>
        <v>ECE</v>
      </c>
      <c r="D160" s="80">
        <f>IFERROR(INDEX(tblStudents[Semester],MATCH(tblAttendance[[#This Row],[StudentID]],tblStudents[StudentID],0)),"Unknown")</f>
        <v>1</v>
      </c>
      <c r="E160" s="80">
        <f>IFERROR(INDEX(tblStudents[Year],MATCH(tblAttendance[[#This Row],[StudentID]],tblStudents[StudentID],0)),"Unknown")</f>
        <v>2024</v>
      </c>
      <c r="F160" s="80" t="n">
        <v>155</v>
      </c>
      <c r="G160" s="80" t="n">
        <v>132</v>
      </c>
      <c r="H160" s="83">
        <f>IFERROR(tblAttendance[[#This Row],[Classes Attended]]/tblAttendance[[#This Row],[Classes Held]],0)</f>
        <v>0.851612903225806</v>
      </c>
      <c r="I160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60" s="80">
        <f>IFERROR(INDEX(tblStudents[Total Marks],MATCH(tblAttendance[[#This Row],[StudentID]],tblStudents[StudentID],0)),"Unknown")</f>
        <v>71</v>
      </c>
      <c r="K160" s="82">
        <f>IF(COUNTIFS(tblAttendance[[#This Row],[Branch]],cAt_B,tblAttendance[[#This Row],[Semester]],cAt_S,tblAttendance[[#This Row],[Year]],cAt_Y)=1,tblAttendance[[#This Row],[Attendance %]]+ROW()/1000000000,"")</f>
        <v>0.851613063225806</v>
      </c>
    </row>
    <row r="161">
      <c r="A161" s="79" t="inlineStr">
        <is>
          <t>STU1157</t>
        </is>
      </c>
      <c r="B161" s="79" t="str">
        <f>IFERROR(INDEX(tblStudents[Student Name],MATCH(tblAttendance[[#This Row],[StudentID]],tblStudents[StudentID],0)),"Unknown")</f>
        <v>Sakshi Srivastava</v>
      </c>
      <c r="C161" s="80" t="str">
        <f>IFERROR(INDEX(tblStudents[Branch],MATCH(tblAttendance[[#This Row],[StudentID]],tblStudents[StudentID],0)),"Unknown")</f>
        <v>ECE</v>
      </c>
      <c r="D161" s="80">
        <f>IFERROR(INDEX(tblStudents[Semester],MATCH(tblAttendance[[#This Row],[StudentID]],tblStudents[StudentID],0)),"Unknown")</f>
        <v>3</v>
      </c>
      <c r="E161" s="80">
        <f>IFERROR(INDEX(tblStudents[Year],MATCH(tblAttendance[[#This Row],[StudentID]],tblStudents[StudentID],0)),"Unknown")</f>
        <v>2026</v>
      </c>
      <c r="F161" s="80" t="n">
        <v>176</v>
      </c>
      <c r="G161" s="80" t="n">
        <v>145</v>
      </c>
      <c r="H161" s="83">
        <f>IFERROR(tblAttendance[[#This Row],[Classes Attended]]/tblAttendance[[#This Row],[Classes Held]],0)</f>
        <v>0.823863636363636</v>
      </c>
      <c r="I16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61" s="80">
        <f>IFERROR(INDEX(tblStudents[Total Marks],MATCH(tblAttendance[[#This Row],[StudentID]],tblStudents[StudentID],0)),"Unknown")</f>
        <v>66</v>
      </c>
      <c r="K161" s="82">
        <f>IF(COUNTIFS(tblAttendance[[#This Row],[Branch]],cAt_B,tblAttendance[[#This Row],[Semester]],cAt_S,tblAttendance[[#This Row],[Year]],cAt_Y)=1,tblAttendance[[#This Row],[Attendance %]]+ROW()/1000000000,"")</f>
        <v>0.823863797363636</v>
      </c>
    </row>
    <row r="162">
      <c r="A162" s="79" t="inlineStr">
        <is>
          <t>STU1158</t>
        </is>
      </c>
      <c r="B162" s="79" t="str">
        <f>IFERROR(INDEX(tblStudents[Student Name],MATCH(tblAttendance[[#This Row],[StudentID]],tblStudents[StudentID],0)),"Unknown")</f>
        <v>Isha Singh</v>
      </c>
      <c r="C162" s="80" t="str">
        <f>IFERROR(INDEX(tblStudents[Branch],MATCH(tblAttendance[[#This Row],[StudentID]],tblStudents[StudentID],0)),"Unknown")</f>
        <v>CE</v>
      </c>
      <c r="D162" s="80">
        <f>IFERROR(INDEX(tblStudents[Semester],MATCH(tblAttendance[[#This Row],[StudentID]],tblStudents[StudentID],0)),"Unknown")</f>
        <v>1</v>
      </c>
      <c r="E162" s="80">
        <f>IFERROR(INDEX(tblStudents[Year],MATCH(tblAttendance[[#This Row],[StudentID]],tblStudents[StudentID],0)),"Unknown")</f>
        <v>2026</v>
      </c>
      <c r="F162" s="80" t="n">
        <v>154</v>
      </c>
      <c r="G162" s="80" t="n">
        <v>151</v>
      </c>
      <c r="H162" s="83">
        <f>IFERROR(tblAttendance[[#This Row],[Classes Attended]]/tblAttendance[[#This Row],[Classes Held]],0)</f>
        <v>0.980519480519481</v>
      </c>
      <c r="I162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2" s="80">
        <f>IFERROR(INDEX(tblStudents[Total Marks],MATCH(tblAttendance[[#This Row],[StudentID]],tblStudents[StudentID],0)),"Unknown")</f>
        <v>88</v>
      </c>
      <c r="K162" s="82">
        <f>IF(COUNTIFS(tblAttendance[[#This Row],[Branch]],cAt_B,tblAttendance[[#This Row],[Semester]],cAt_S,tblAttendance[[#This Row],[Year]],cAt_Y)=1,tblAttendance[[#This Row],[Attendance %]]+ROW()/1000000000,"")</f>
        <v>0.980519642519481</v>
      </c>
    </row>
    <row r="163">
      <c r="A163" s="79" t="inlineStr">
        <is>
          <t>STU1159</t>
        </is>
      </c>
      <c r="B163" s="79" t="str">
        <f>IFERROR(INDEX(tblStudents[Student Name],MATCH(tblAttendance[[#This Row],[StudentID]],tblStudents[StudentID],0)),"Unknown")</f>
        <v>Mayank Kumar</v>
      </c>
      <c r="C163" s="80" t="str">
        <f>IFERROR(INDEX(tblStudents[Branch],MATCH(tblAttendance[[#This Row],[StudentID]],tblStudents[StudentID],0)),"Unknown")</f>
        <v>IT</v>
      </c>
      <c r="D163" s="80">
        <f>IFERROR(INDEX(tblStudents[Semester],MATCH(tblAttendance[[#This Row],[StudentID]],tblStudents[StudentID],0)),"Unknown")</f>
        <v>2</v>
      </c>
      <c r="E163" s="80">
        <f>IFERROR(INDEX(tblStudents[Year],MATCH(tblAttendance[[#This Row],[StudentID]],tblStudents[StudentID],0)),"Unknown")</f>
        <v>2024</v>
      </c>
      <c r="F163" s="80" t="n">
        <v>172</v>
      </c>
      <c r="G163" s="80" t="n">
        <v>160</v>
      </c>
      <c r="H163" s="83">
        <f>IFERROR(tblAttendance[[#This Row],[Classes Attended]]/tblAttendance[[#This Row],[Classes Held]],0)</f>
        <v>0.930232558139535</v>
      </c>
      <c r="I16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3" s="80">
        <f>IFERROR(INDEX(tblStudents[Total Marks],MATCH(tblAttendance[[#This Row],[StudentID]],tblStudents[StudentID],0)),"Unknown")</f>
        <v>67</v>
      </c>
      <c r="K163" s="82">
        <f>IF(COUNTIFS(tblAttendance[[#This Row],[Branch]],cAt_B,tblAttendance[[#This Row],[Semester]],cAt_S,tblAttendance[[#This Row],[Year]],cAt_Y)=1,tblAttendance[[#This Row],[Attendance %]]+ROW()/1000000000,"")</f>
        <v>0.930232721139535</v>
      </c>
    </row>
    <row r="164">
      <c r="A164" s="79" t="inlineStr">
        <is>
          <t>STU1160</t>
        </is>
      </c>
      <c r="B164" s="79" t="str">
        <f>IFERROR(INDEX(tblStudents[Student Name],MATCH(tblAttendance[[#This Row],[StudentID]],tblStudents[StudentID],0)),"Unknown")</f>
        <v>Tanya Bhatt</v>
      </c>
      <c r="C164" s="80" t="str">
        <f>IFERROR(INDEX(tblStudents[Branch],MATCH(tblAttendance[[#This Row],[StudentID]],tblStudents[StudentID],0)),"Unknown")</f>
        <v>CSE</v>
      </c>
      <c r="D164" s="80">
        <f>IFERROR(INDEX(tblStudents[Semester],MATCH(tblAttendance[[#This Row],[StudentID]],tblStudents[StudentID],0)),"Unknown")</f>
        <v>7</v>
      </c>
      <c r="E164" s="80">
        <f>IFERROR(INDEX(tblStudents[Year],MATCH(tblAttendance[[#This Row],[StudentID]],tblStudents[StudentID],0)),"Unknown")</f>
        <v>2023</v>
      </c>
      <c r="F164" s="80" t="n">
        <v>158</v>
      </c>
      <c r="G164" s="80" t="n">
        <v>156</v>
      </c>
      <c r="H164" s="83">
        <f>IFERROR(tblAttendance[[#This Row],[Classes Attended]]/tblAttendance[[#This Row],[Classes Held]],0)</f>
        <v>0.987341772151899</v>
      </c>
      <c r="I16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4" s="80">
        <f>IFERROR(INDEX(tblStudents[Total Marks],MATCH(tblAttendance[[#This Row],[StudentID]],tblStudents[StudentID],0)),"Unknown")</f>
        <v>84</v>
      </c>
      <c r="K164" s="82">
        <f>IF(COUNTIFS(tblAttendance[[#This Row],[Branch]],cAt_B,tblAttendance[[#This Row],[Semester]],cAt_S,tblAttendance[[#This Row],[Year]],cAt_Y)=1,tblAttendance[[#This Row],[Attendance %]]+ROW()/1000000000,"")</f>
        <v>0.987341936151899</v>
      </c>
    </row>
    <row r="165">
      <c r="A165" s="79" t="inlineStr">
        <is>
          <t>STU1161</t>
        </is>
      </c>
      <c r="B165" s="79" t="str">
        <f>IFERROR(INDEX(tblStudents[Student Name],MATCH(tblAttendance[[#This Row],[StudentID]],tblStudents[StudentID],0)),"Unknown")</f>
        <v>Sneha Gupta</v>
      </c>
      <c r="C165" s="80" t="str">
        <f>IFERROR(INDEX(tblStudents[Branch],MATCH(tblAttendance[[#This Row],[StudentID]],tblStudents[StudentID],0)),"Unknown")</f>
        <v>CSE</v>
      </c>
      <c r="D165" s="80">
        <f>IFERROR(INDEX(tblStudents[Semester],MATCH(tblAttendance[[#This Row],[StudentID]],tblStudents[StudentID],0)),"Unknown")</f>
        <v>1</v>
      </c>
      <c r="E165" s="80">
        <f>IFERROR(INDEX(tblStudents[Year],MATCH(tblAttendance[[#This Row],[StudentID]],tblStudents[StudentID],0)),"Unknown")</f>
        <v>2024</v>
      </c>
      <c r="F165" s="80" t="n">
        <v>185</v>
      </c>
      <c r="G165" s="80" t="n">
        <v>142</v>
      </c>
      <c r="H165" s="83">
        <f>IFERROR(tblAttendance[[#This Row],[Classes Attended]]/tblAttendance[[#This Row],[Classes Held]],0)</f>
        <v>0.767567567567568</v>
      </c>
      <c r="I165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65" s="80">
        <f>IFERROR(INDEX(tblStudents[Total Marks],MATCH(tblAttendance[[#This Row],[StudentID]],tblStudents[StudentID],0)),"Unknown")</f>
        <v>52</v>
      </c>
      <c r="K165" s="82">
        <f>IF(COUNTIFS(tblAttendance[[#This Row],[Branch]],cAt_B,tblAttendance[[#This Row],[Semester]],cAt_S,tblAttendance[[#This Row],[Year]],cAt_Y)=1,tblAttendance[[#This Row],[Attendance %]]+ROW()/1000000000,"")</f>
        <v>0.767567732567568</v>
      </c>
    </row>
    <row r="166">
      <c r="A166" s="79" t="inlineStr">
        <is>
          <t>STU1162</t>
        </is>
      </c>
      <c r="B166" s="79" t="str">
        <f>IFERROR(INDEX(tblStudents[Student Name],MATCH(tblAttendance[[#This Row],[StudentID]],tblStudents[StudentID],0)),"Unknown")</f>
        <v>Karan Goel</v>
      </c>
      <c r="C166" s="80" t="str">
        <f>IFERROR(INDEX(tblStudents[Branch],MATCH(tblAttendance[[#This Row],[StudentID]],tblStudents[StudentID],0)),"Unknown")</f>
        <v>ME</v>
      </c>
      <c r="D166" s="80">
        <f>IFERROR(INDEX(tblStudents[Semester],MATCH(tblAttendance[[#This Row],[StudentID]],tblStudents[StudentID],0)),"Unknown")</f>
        <v>3</v>
      </c>
      <c r="E166" s="80">
        <f>IFERROR(INDEX(tblStudents[Year],MATCH(tblAttendance[[#This Row],[StudentID]],tblStudents[StudentID],0)),"Unknown")</f>
        <v>2025</v>
      </c>
      <c r="F166" s="80" t="n">
        <v>156</v>
      </c>
      <c r="G166" s="80" t="n">
        <v>137</v>
      </c>
      <c r="H166" s="83">
        <f>IFERROR(tblAttendance[[#This Row],[Classes Attended]]/tblAttendance[[#This Row],[Classes Held]],0)</f>
        <v>0.878205128205128</v>
      </c>
      <c r="I16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66" s="80">
        <f>IFERROR(INDEX(tblStudents[Total Marks],MATCH(tblAttendance[[#This Row],[StudentID]],tblStudents[StudentID],0)),"Unknown")</f>
        <v>72</v>
      </c>
      <c r="K166" s="82">
        <f>IF(COUNTIFS(tblAttendance[[#This Row],[Branch]],cAt_B,tblAttendance[[#This Row],[Semester]],cAt_S,tblAttendance[[#This Row],[Year]],cAt_Y)=1,tblAttendance[[#This Row],[Attendance %]]+ROW()/1000000000,"")</f>
        <v>0.878205294205128</v>
      </c>
    </row>
    <row r="167">
      <c r="A167" s="79" t="inlineStr">
        <is>
          <t>STU1163</t>
        </is>
      </c>
      <c r="B167" s="79" t="str">
        <f>IFERROR(INDEX(tblStudents[Student Name],MATCH(tblAttendance[[#This Row],[StudentID]],tblStudents[StudentID],0)),"Unknown")</f>
        <v>Isha Thakur</v>
      </c>
      <c r="C167" s="80" t="str">
        <f>IFERROR(INDEX(tblStudents[Branch],MATCH(tblAttendance[[#This Row],[StudentID]],tblStudents[StudentID],0)),"Unknown")</f>
        <v>CSE</v>
      </c>
      <c r="D167" s="80">
        <f>IFERROR(INDEX(tblStudents[Semester],MATCH(tblAttendance[[#This Row],[StudentID]],tblStudents[StudentID],0)),"Unknown")</f>
        <v>3</v>
      </c>
      <c r="E167" s="80">
        <f>IFERROR(INDEX(tblStudents[Year],MATCH(tblAttendance[[#This Row],[StudentID]],tblStudents[StudentID],0)),"Unknown")</f>
        <v>2024</v>
      </c>
      <c r="F167" s="80" t="n">
        <v>174</v>
      </c>
      <c r="G167" s="80" t="n">
        <v>165</v>
      </c>
      <c r="H167" s="83">
        <f>IFERROR(tblAttendance[[#This Row],[Classes Attended]]/tblAttendance[[#This Row],[Classes Held]],0)</f>
        <v>0.948275862068966</v>
      </c>
      <c r="I16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7" s="80">
        <f>IFERROR(INDEX(tblStudents[Total Marks],MATCH(tblAttendance[[#This Row],[StudentID]],tblStudents[StudentID],0)),"Unknown")</f>
        <v>77</v>
      </c>
      <c r="K167" s="82">
        <f>IF(COUNTIFS(tblAttendance[[#This Row],[Branch]],cAt_B,tblAttendance[[#This Row],[Semester]],cAt_S,tblAttendance[[#This Row],[Year]],cAt_Y)=1,tblAttendance[[#This Row],[Attendance %]]+ROW()/1000000000,"")</f>
        <v>0.948276029068966</v>
      </c>
    </row>
    <row r="168">
      <c r="A168" s="79" t="inlineStr">
        <is>
          <t>STU1164</t>
        </is>
      </c>
      <c r="B168" s="79" t="str">
        <f>IFERROR(INDEX(tblStudents[Student Name],MATCH(tblAttendance[[#This Row],[StudentID]],tblStudents[StudentID],0)),"Unknown")</f>
        <v>Amit Pandey</v>
      </c>
      <c r="C168" s="80" t="str">
        <f>IFERROR(INDEX(tblStudents[Branch],MATCH(tblAttendance[[#This Row],[StudentID]],tblStudents[StudentID],0)),"Unknown")</f>
        <v>CSE</v>
      </c>
      <c r="D168" s="80">
        <f>IFERROR(INDEX(tblStudents[Semester],MATCH(tblAttendance[[#This Row],[StudentID]],tblStudents[StudentID],0)),"Unknown")</f>
        <v>4</v>
      </c>
      <c r="E168" s="80">
        <f>IFERROR(INDEX(tblStudents[Year],MATCH(tblAttendance[[#This Row],[StudentID]],tblStudents[StudentID],0)),"Unknown")</f>
        <v>2026</v>
      </c>
      <c r="F168" s="80" t="n">
        <v>161</v>
      </c>
      <c r="G168" s="80" t="n">
        <v>146</v>
      </c>
      <c r="H168" s="83">
        <f>IFERROR(tblAttendance[[#This Row],[Classes Attended]]/tblAttendance[[#This Row],[Classes Held]],0)</f>
        <v>0.906832298136646</v>
      </c>
      <c r="I16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8" s="80">
        <f>IFERROR(INDEX(tblStudents[Total Marks],MATCH(tblAttendance[[#This Row],[StudentID]],tblStudents[StudentID],0)),"Unknown")</f>
        <v>68</v>
      </c>
      <c r="K168" s="82">
        <f>IF(COUNTIFS(tblAttendance[[#This Row],[Branch]],cAt_B,tblAttendance[[#This Row],[Semester]],cAt_S,tblAttendance[[#This Row],[Year]],cAt_Y)=1,tblAttendance[[#This Row],[Attendance %]]+ROW()/1000000000,"")</f>
        <v>0.906832466136646</v>
      </c>
    </row>
    <row r="169">
      <c r="A169" s="79" t="inlineStr">
        <is>
          <t>STU1165</t>
        </is>
      </c>
      <c r="B169" s="79" t="str">
        <f>IFERROR(INDEX(tblStudents[Student Name],MATCH(tblAttendance[[#This Row],[StudentID]],tblStudents[StudentID],0)),"Unknown")</f>
        <v>Kritika Iyer</v>
      </c>
      <c r="C169" s="80" t="str">
        <f>IFERROR(INDEX(tblStudents[Branch],MATCH(tblAttendance[[#This Row],[StudentID]],tblStudents[StudentID],0)),"Unknown")</f>
        <v>CSE</v>
      </c>
      <c r="D169" s="80">
        <f>IFERROR(INDEX(tblStudents[Semester],MATCH(tblAttendance[[#This Row],[StudentID]],tblStudents[StudentID],0)),"Unknown")</f>
        <v>1</v>
      </c>
      <c r="E169" s="80">
        <f>IFERROR(INDEX(tblStudents[Year],MATCH(tblAttendance[[#This Row],[StudentID]],tblStudents[StudentID],0)),"Unknown")</f>
        <v>2025</v>
      </c>
      <c r="F169" s="80" t="n">
        <v>171</v>
      </c>
      <c r="G169" s="80" t="n">
        <v>154</v>
      </c>
      <c r="H169" s="83">
        <f>IFERROR(tblAttendance[[#This Row],[Classes Attended]]/tblAttendance[[#This Row],[Classes Held]],0)</f>
        <v>0.900584795321637</v>
      </c>
      <c r="I16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69" s="80">
        <f>IFERROR(INDEX(tblStudents[Total Marks],MATCH(tblAttendance[[#This Row],[StudentID]],tblStudents[StudentID],0)),"Unknown")</f>
        <v>75</v>
      </c>
      <c r="K169" s="82">
        <f>IF(COUNTIFS(tblAttendance[[#This Row],[Branch]],cAt_B,tblAttendance[[#This Row],[Semester]],cAt_S,tblAttendance[[#This Row],[Year]],cAt_Y)=1,tblAttendance[[#This Row],[Attendance %]]+ROW()/1000000000,"")</f>
        <v>0.900584964321637</v>
      </c>
    </row>
    <row r="170">
      <c r="A170" s="79" t="inlineStr">
        <is>
          <t>STU1166</t>
        </is>
      </c>
      <c r="B170" s="79" t="str">
        <f>IFERROR(INDEX(tblStudents[Student Name],MATCH(tblAttendance[[#This Row],[StudentID]],tblStudents[StudentID],0)),"Unknown")</f>
        <v>Deepak Pandey</v>
      </c>
      <c r="C170" s="80" t="str">
        <f>IFERROR(INDEX(tblStudents[Branch],MATCH(tblAttendance[[#This Row],[StudentID]],tblStudents[StudentID],0)),"Unknown")</f>
        <v>CE</v>
      </c>
      <c r="D170" s="80">
        <f>IFERROR(INDEX(tblStudents[Semester],MATCH(tblAttendance[[#This Row],[StudentID]],tblStudents[StudentID],0)),"Unknown")</f>
        <v>7</v>
      </c>
      <c r="E170" s="80">
        <f>IFERROR(INDEX(tblStudents[Year],MATCH(tblAttendance[[#This Row],[StudentID]],tblStudents[StudentID],0)),"Unknown")</f>
        <v>2025</v>
      </c>
      <c r="F170" s="80" t="n">
        <v>182</v>
      </c>
      <c r="G170" s="80" t="n">
        <v>142</v>
      </c>
      <c r="H170" s="83">
        <f>IFERROR(tblAttendance[[#This Row],[Classes Attended]]/tblAttendance[[#This Row],[Classes Held]],0)</f>
        <v>0.78021978021978</v>
      </c>
      <c r="I170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70" s="80">
        <f>IFERROR(INDEX(tblStudents[Total Marks],MATCH(tblAttendance[[#This Row],[StudentID]],tblStudents[StudentID],0)),"Unknown")</f>
        <v>52</v>
      </c>
      <c r="K170" s="82">
        <f>IF(COUNTIFS(tblAttendance[[#This Row],[Branch]],cAt_B,tblAttendance[[#This Row],[Semester]],cAt_S,tblAttendance[[#This Row],[Year]],cAt_Y)=1,tblAttendance[[#This Row],[Attendance %]]+ROW()/1000000000,"")</f>
        <v>0.78021995021978</v>
      </c>
    </row>
    <row r="171">
      <c r="A171" s="79" t="inlineStr">
        <is>
          <t>STU1167</t>
        </is>
      </c>
      <c r="B171" s="79" t="str">
        <f>IFERROR(INDEX(tblStudents[Student Name],MATCH(tblAttendance[[#This Row],[StudentID]],tblStudents[StudentID],0)),"Unknown")</f>
        <v>Shruti Bansal</v>
      </c>
      <c r="C171" s="80" t="str">
        <f>IFERROR(INDEX(tblStudents[Branch],MATCH(tblAttendance[[#This Row],[StudentID]],tblStudents[StudentID],0)),"Unknown")</f>
        <v>CE</v>
      </c>
      <c r="D171" s="80">
        <f>IFERROR(INDEX(tblStudents[Semester],MATCH(tblAttendance[[#This Row],[StudentID]],tblStudents[StudentID],0)),"Unknown")</f>
        <v>8</v>
      </c>
      <c r="E171" s="80">
        <f>IFERROR(INDEX(tblStudents[Year],MATCH(tblAttendance[[#This Row],[StudentID]],tblStudents[StudentID],0)),"Unknown")</f>
        <v>2026</v>
      </c>
      <c r="F171" s="80" t="n">
        <v>158</v>
      </c>
      <c r="G171" s="80" t="n">
        <v>132</v>
      </c>
      <c r="H171" s="83">
        <f>IFERROR(tblAttendance[[#This Row],[Classes Attended]]/tblAttendance[[#This Row],[Classes Held]],0)</f>
        <v>0.835443037974684</v>
      </c>
      <c r="I17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71" s="80">
        <f>IFERROR(INDEX(tblStudents[Total Marks],MATCH(tblAttendance[[#This Row],[StudentID]],tblStudents[StudentID],0)),"Unknown")</f>
        <v>68</v>
      </c>
      <c r="K171" s="82">
        <f>IF(COUNTIFS(tblAttendance[[#This Row],[Branch]],cAt_B,tblAttendance[[#This Row],[Semester]],cAt_S,tblAttendance[[#This Row],[Year]],cAt_Y)=1,tblAttendance[[#This Row],[Attendance %]]+ROW()/1000000000,"")</f>
        <v>0.835443208974684</v>
      </c>
    </row>
    <row r="172">
      <c r="A172" s="79" t="inlineStr">
        <is>
          <t>STU1168</t>
        </is>
      </c>
      <c r="B172" s="79" t="str">
        <f>IFERROR(INDEX(tblStudents[Student Name],MATCH(tblAttendance[[#This Row],[StudentID]],tblStudents[StudentID],0)),"Unknown")</f>
        <v>Saurabh Singh</v>
      </c>
      <c r="C172" s="80" t="str">
        <f>IFERROR(INDEX(tblStudents[Branch],MATCH(tblAttendance[[#This Row],[StudentID]],tblStudents[StudentID],0)),"Unknown")</f>
        <v>CE</v>
      </c>
      <c r="D172" s="80">
        <f>IFERROR(INDEX(tblStudents[Semester],MATCH(tblAttendance[[#This Row],[StudentID]],tblStudents[StudentID],0)),"Unknown")</f>
        <v>6</v>
      </c>
      <c r="E172" s="80">
        <f>IFERROR(INDEX(tblStudents[Year],MATCH(tblAttendance[[#This Row],[StudentID]],tblStudents[StudentID],0)),"Unknown")</f>
        <v>2023</v>
      </c>
      <c r="F172" s="80" t="n">
        <v>180</v>
      </c>
      <c r="G172" s="80" t="n">
        <v>141</v>
      </c>
      <c r="H172" s="83">
        <f>IFERROR(tblAttendance[[#This Row],[Classes Attended]]/tblAttendance[[#This Row],[Classes Held]],0)</f>
        <v>0.783333333333333</v>
      </c>
      <c r="I172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72" s="80">
        <f>IFERROR(INDEX(tblStudents[Total Marks],MATCH(tblAttendance[[#This Row],[StudentID]],tblStudents[StudentID],0)),"Unknown")</f>
        <v>69</v>
      </c>
      <c r="K172" s="82">
        <f>IF(COUNTIFS(tblAttendance[[#This Row],[Branch]],cAt_B,tblAttendance[[#This Row],[Semester]],cAt_S,tblAttendance[[#This Row],[Year]],cAt_Y)=1,tblAttendance[[#This Row],[Attendance %]]+ROW()/1000000000,"")</f>
        <v>0.783333505333333</v>
      </c>
    </row>
    <row r="173">
      <c r="A173" s="79" t="inlineStr">
        <is>
          <t>STU1169</t>
        </is>
      </c>
      <c r="B173" s="79" t="str">
        <f>IFERROR(INDEX(tblStudents[Student Name],MATCH(tblAttendance[[#This Row],[StudentID]],tblStudents[StudentID],0)),"Unknown")</f>
        <v>Tarun Reddy</v>
      </c>
      <c r="C173" s="80" t="str">
        <f>IFERROR(INDEX(tblStudents[Branch],MATCH(tblAttendance[[#This Row],[StudentID]],tblStudents[StudentID],0)),"Unknown")</f>
        <v>CSE</v>
      </c>
      <c r="D173" s="80">
        <f>IFERROR(INDEX(tblStudents[Semester],MATCH(tblAttendance[[#This Row],[StudentID]],tblStudents[StudentID],0)),"Unknown")</f>
        <v>7</v>
      </c>
      <c r="E173" s="80">
        <f>IFERROR(INDEX(tblStudents[Year],MATCH(tblAttendance[[#This Row],[StudentID]],tblStudents[StudentID],0)),"Unknown")</f>
        <v>2025</v>
      </c>
      <c r="F173" s="80" t="n">
        <v>162</v>
      </c>
      <c r="G173" s="80" t="n">
        <v>152</v>
      </c>
      <c r="H173" s="83">
        <f>IFERROR(tblAttendance[[#This Row],[Classes Attended]]/tblAttendance[[#This Row],[Classes Held]],0)</f>
        <v>0.938271604938272</v>
      </c>
      <c r="I17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73" s="80">
        <f>IFERROR(INDEX(tblStudents[Total Marks],MATCH(tblAttendance[[#This Row],[StudentID]],tblStudents[StudentID],0)),"Unknown")</f>
        <v>53</v>
      </c>
      <c r="K173" s="82">
        <f>IF(COUNTIFS(tblAttendance[[#This Row],[Branch]],cAt_B,tblAttendance[[#This Row],[Semester]],cAt_S,tblAttendance[[#This Row],[Year]],cAt_Y)=1,tblAttendance[[#This Row],[Attendance %]]+ROW()/1000000000,"")</f>
        <v>0.938271777938272</v>
      </c>
    </row>
    <row r="174">
      <c r="A174" s="79" t="inlineStr">
        <is>
          <t>STU1170</t>
        </is>
      </c>
      <c r="B174" s="79" t="str">
        <f>IFERROR(INDEX(tblStudents[Student Name],MATCH(tblAttendance[[#This Row],[StudentID]],tblStudents[StudentID],0)),"Unknown")</f>
        <v>Vishal Ansari</v>
      </c>
      <c r="C174" s="80" t="str">
        <f>IFERROR(INDEX(tblStudents[Branch],MATCH(tblAttendance[[#This Row],[StudentID]],tblStudents[StudentID],0)),"Unknown")</f>
        <v>IT</v>
      </c>
      <c r="D174" s="80">
        <f>IFERROR(INDEX(tblStudents[Semester],MATCH(tblAttendance[[#This Row],[StudentID]],tblStudents[StudentID],0)),"Unknown")</f>
        <v>8</v>
      </c>
      <c r="E174" s="80">
        <f>IFERROR(INDEX(tblStudents[Year],MATCH(tblAttendance[[#This Row],[StudentID]],tblStudents[StudentID],0)),"Unknown")</f>
        <v>2023</v>
      </c>
      <c r="F174" s="80" t="n">
        <v>163</v>
      </c>
      <c r="G174" s="80" t="n">
        <v>159</v>
      </c>
      <c r="H174" s="83">
        <f>IFERROR(tblAttendance[[#This Row],[Classes Attended]]/tblAttendance[[#This Row],[Classes Held]],0)</f>
        <v>0.975460122699387</v>
      </c>
      <c r="I17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74" s="80">
        <f>IFERROR(INDEX(tblStudents[Total Marks],MATCH(tblAttendance[[#This Row],[StudentID]],tblStudents[StudentID],0)),"Unknown")</f>
        <v>74</v>
      </c>
      <c r="K174" s="82">
        <f>IF(COUNTIFS(tblAttendance[[#This Row],[Branch]],cAt_B,tblAttendance[[#This Row],[Semester]],cAt_S,tblAttendance[[#This Row],[Year]],cAt_Y)=1,tblAttendance[[#This Row],[Attendance %]]+ROW()/1000000000,"")</f>
        <v>0.975460296699387</v>
      </c>
    </row>
    <row r="175">
      <c r="A175" s="79" t="inlineStr">
        <is>
          <t>STU1171</t>
        </is>
      </c>
      <c r="B175" s="79" t="str">
        <f>IFERROR(INDEX(tblStudents[Student Name],MATCH(tblAttendance[[#This Row],[StudentID]],tblStudents[StudentID],0)),"Unknown")</f>
        <v>Tanvi Mittal</v>
      </c>
      <c r="C175" s="80" t="str">
        <f>IFERROR(INDEX(tblStudents[Branch],MATCH(tblAttendance[[#This Row],[StudentID]],tblStudents[StudentID],0)),"Unknown")</f>
        <v>ECE</v>
      </c>
      <c r="D175" s="80">
        <f>IFERROR(INDEX(tblStudents[Semester],MATCH(tblAttendance[[#This Row],[StudentID]],tblStudents[StudentID],0)),"Unknown")</f>
        <v>5</v>
      </c>
      <c r="E175" s="80">
        <f>IFERROR(INDEX(tblStudents[Year],MATCH(tblAttendance[[#This Row],[StudentID]],tblStudents[StudentID],0)),"Unknown")</f>
        <v>2023</v>
      </c>
      <c r="F175" s="80" t="n">
        <v>171</v>
      </c>
      <c r="G175" s="80" t="n">
        <v>155</v>
      </c>
      <c r="H175" s="83">
        <f>IFERROR(tblAttendance[[#This Row],[Classes Attended]]/tblAttendance[[#This Row],[Classes Held]],0)</f>
        <v>0.906432748538012</v>
      </c>
      <c r="I17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75" s="80">
        <f>IFERROR(INDEX(tblStudents[Total Marks],MATCH(tblAttendance[[#This Row],[StudentID]],tblStudents[StudentID],0)),"Unknown")</f>
        <v>81</v>
      </c>
      <c r="K175" s="82">
        <f>IF(COUNTIFS(tblAttendance[[#This Row],[Branch]],cAt_B,tblAttendance[[#This Row],[Semester]],cAt_S,tblAttendance[[#This Row],[Year]],cAt_Y)=1,tblAttendance[[#This Row],[Attendance %]]+ROW()/1000000000,"")</f>
        <v>0.906432923538012</v>
      </c>
    </row>
    <row r="176">
      <c r="A176" s="79" t="inlineStr">
        <is>
          <t>STU1172</t>
        </is>
      </c>
      <c r="B176" s="79" t="str">
        <f>IFERROR(INDEX(tblStudents[Student Name],MATCH(tblAttendance[[#This Row],[StudentID]],tblStudents[StudentID],0)),"Unknown")</f>
        <v>Abhishek Nair</v>
      </c>
      <c r="C176" s="80" t="str">
        <f>IFERROR(INDEX(tblStudents[Branch],MATCH(tblAttendance[[#This Row],[StudentID]],tblStudents[StudentID],0)),"Unknown")</f>
        <v>IT</v>
      </c>
      <c r="D176" s="80">
        <f>IFERROR(INDEX(tblStudents[Semester],MATCH(tblAttendance[[#This Row],[StudentID]],tblStudents[StudentID],0)),"Unknown")</f>
        <v>1</v>
      </c>
      <c r="E176" s="80">
        <f>IFERROR(INDEX(tblStudents[Year],MATCH(tblAttendance[[#This Row],[StudentID]],tblStudents[StudentID],0)),"Unknown")</f>
        <v>2026</v>
      </c>
      <c r="F176" s="80" t="n">
        <v>156</v>
      </c>
      <c r="G176" s="80" t="n">
        <v>130</v>
      </c>
      <c r="H176" s="83">
        <f>IFERROR(tblAttendance[[#This Row],[Classes Attended]]/tblAttendance[[#This Row],[Classes Held]],0)</f>
        <v>0.833333333333333</v>
      </c>
      <c r="I17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76" s="80">
        <f>IFERROR(INDEX(tblStudents[Total Marks],MATCH(tblAttendance[[#This Row],[StudentID]],tblStudents[StudentID],0)),"Unknown")</f>
        <v>76</v>
      </c>
      <c r="K176" s="82">
        <f>IF(COUNTIFS(tblAttendance[[#This Row],[Branch]],cAt_B,tblAttendance[[#This Row],[Semester]],cAt_S,tblAttendance[[#This Row],[Year]],cAt_Y)=1,tblAttendance[[#This Row],[Attendance %]]+ROW()/1000000000,"")</f>
        <v>0.833333509333333</v>
      </c>
    </row>
    <row r="177">
      <c r="A177" s="79" t="inlineStr">
        <is>
          <t>STU1173</t>
        </is>
      </c>
      <c r="B177" s="79" t="str">
        <f>IFERROR(INDEX(tblStudents[Student Name],MATCH(tblAttendance[[#This Row],[StudentID]],tblStudents[StudentID],0)),"Unknown")</f>
        <v>Pooja Reddy</v>
      </c>
      <c r="C177" s="80" t="str">
        <f>IFERROR(INDEX(tblStudents[Branch],MATCH(tblAttendance[[#This Row],[StudentID]],tblStudents[StudentID],0)),"Unknown")</f>
        <v>CE</v>
      </c>
      <c r="D177" s="80">
        <f>IFERROR(INDEX(tblStudents[Semester],MATCH(tblAttendance[[#This Row],[StudentID]],tblStudents[StudentID],0)),"Unknown")</f>
        <v>1</v>
      </c>
      <c r="E177" s="80">
        <f>IFERROR(INDEX(tblStudents[Year],MATCH(tblAttendance[[#This Row],[StudentID]],tblStudents[StudentID],0)),"Unknown")</f>
        <v>2026</v>
      </c>
      <c r="F177" s="80" t="n">
        <v>186</v>
      </c>
      <c r="G177" s="80" t="n">
        <v>145</v>
      </c>
      <c r="H177" s="83">
        <f>IFERROR(tblAttendance[[#This Row],[Classes Attended]]/tblAttendance[[#This Row],[Classes Held]],0)</f>
        <v>0.779569892473118</v>
      </c>
      <c r="I177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77" s="80">
        <f>IFERROR(INDEX(tblStudents[Total Marks],MATCH(tblAttendance[[#This Row],[StudentID]],tblStudents[StudentID],0)),"Unknown")</f>
        <v>50</v>
      </c>
      <c r="K177" s="82">
        <f>IF(COUNTIFS(tblAttendance[[#This Row],[Branch]],cAt_B,tblAttendance[[#This Row],[Semester]],cAt_S,tblAttendance[[#This Row],[Year]],cAt_Y)=1,tblAttendance[[#This Row],[Attendance %]]+ROW()/1000000000,"")</f>
        <v>0.779570069473118</v>
      </c>
    </row>
    <row r="178">
      <c r="A178" s="79" t="inlineStr">
        <is>
          <t>STU1174</t>
        </is>
      </c>
      <c r="B178" s="79" t="str">
        <f>IFERROR(INDEX(tblStudents[Student Name],MATCH(tblAttendance[[#This Row],[StudentID]],tblStudents[StudentID],0)),"Unknown")</f>
        <v>Harsh Gupta</v>
      </c>
      <c r="C178" s="80" t="str">
        <f>IFERROR(INDEX(tblStudents[Branch],MATCH(tblAttendance[[#This Row],[StudentID]],tblStudents[StudentID],0)),"Unknown")</f>
        <v>ME</v>
      </c>
      <c r="D178" s="80">
        <f>IFERROR(INDEX(tblStudents[Semester],MATCH(tblAttendance[[#This Row],[StudentID]],tblStudents[StudentID],0)),"Unknown")</f>
        <v>8</v>
      </c>
      <c r="E178" s="80">
        <f>IFERROR(INDEX(tblStudents[Year],MATCH(tblAttendance[[#This Row],[StudentID]],tblStudents[StudentID],0)),"Unknown")</f>
        <v>2026</v>
      </c>
      <c r="F178" s="80" t="n">
        <v>168</v>
      </c>
      <c r="G178" s="80" t="n">
        <v>122</v>
      </c>
      <c r="H178" s="83">
        <f>IFERROR(tblAttendance[[#This Row],[Classes Attended]]/tblAttendance[[#This Row],[Classes Held]],0)</f>
        <v>0.726190476190476</v>
      </c>
      <c r="I178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78" s="80">
        <f>IFERROR(INDEX(tblStudents[Total Marks],MATCH(tblAttendance[[#This Row],[StudentID]],tblStudents[StudentID],0)),"Unknown")</f>
        <v>41</v>
      </c>
      <c r="K178" s="82">
        <f>IF(COUNTIFS(tblAttendance[[#This Row],[Branch]],cAt_B,tblAttendance[[#This Row],[Semester]],cAt_S,tblAttendance[[#This Row],[Year]],cAt_Y)=1,tblAttendance[[#This Row],[Attendance %]]+ROW()/1000000000,"")</f>
        <v>0.726190654190476</v>
      </c>
    </row>
    <row r="179">
      <c r="A179" s="79" t="inlineStr">
        <is>
          <t>STU1175</t>
        </is>
      </c>
      <c r="B179" s="79" t="str">
        <f>IFERROR(INDEX(tblStudents[Student Name],MATCH(tblAttendance[[#This Row],[StudentID]],tblStudents[StudentID],0)),"Unknown")</f>
        <v>Vivaan Thakur</v>
      </c>
      <c r="C179" s="80" t="str">
        <f>IFERROR(INDEX(tblStudents[Branch],MATCH(tblAttendance[[#This Row],[StudentID]],tblStudents[StudentID],0)),"Unknown")</f>
        <v>ME</v>
      </c>
      <c r="D179" s="80">
        <f>IFERROR(INDEX(tblStudents[Semester],MATCH(tblAttendance[[#This Row],[StudentID]],tblStudents[StudentID],0)),"Unknown")</f>
        <v>8</v>
      </c>
      <c r="E179" s="80">
        <f>IFERROR(INDEX(tblStudents[Year],MATCH(tblAttendance[[#This Row],[StudentID]],tblStudents[StudentID],0)),"Unknown")</f>
        <v>2026</v>
      </c>
      <c r="F179" s="80" t="n">
        <v>168</v>
      </c>
      <c r="G179" s="80" t="n">
        <v>137</v>
      </c>
      <c r="H179" s="83">
        <f>IFERROR(tblAttendance[[#This Row],[Classes Attended]]/tblAttendance[[#This Row],[Classes Held]],0)</f>
        <v>0.815476190476191</v>
      </c>
      <c r="I179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79" s="80">
        <f>IFERROR(INDEX(tblStudents[Total Marks],MATCH(tblAttendance[[#This Row],[StudentID]],tblStudents[StudentID],0)),"Unknown")</f>
        <v>64</v>
      </c>
      <c r="K179" s="82">
        <f>IF(COUNTIFS(tblAttendance[[#This Row],[Branch]],cAt_B,tblAttendance[[#This Row],[Semester]],cAt_S,tblAttendance[[#This Row],[Year]],cAt_Y)=1,tblAttendance[[#This Row],[Attendance %]]+ROW()/1000000000,"")</f>
        <v>0.815476369476191</v>
      </c>
    </row>
    <row r="180">
      <c r="A180" s="79" t="inlineStr">
        <is>
          <t>STU1176</t>
        </is>
      </c>
      <c r="B180" s="79" t="str">
        <f>IFERROR(INDEX(tblStudents[Student Name],MATCH(tblAttendance[[#This Row],[StudentID]],tblStudents[StudentID],0)),"Unknown")</f>
        <v>Devansh Verma</v>
      </c>
      <c r="C180" s="80" t="str">
        <f>IFERROR(INDEX(tblStudents[Branch],MATCH(tblAttendance[[#This Row],[StudentID]],tblStudents[StudentID],0)),"Unknown")</f>
        <v>IT</v>
      </c>
      <c r="D180" s="80">
        <f>IFERROR(INDEX(tblStudents[Semester],MATCH(tblAttendance[[#This Row],[StudentID]],tblStudents[StudentID],0)),"Unknown")</f>
        <v>7</v>
      </c>
      <c r="E180" s="80">
        <f>IFERROR(INDEX(tblStudents[Year],MATCH(tblAttendance[[#This Row],[StudentID]],tblStudents[StudentID],0)),"Unknown")</f>
        <v>2024</v>
      </c>
      <c r="F180" s="80" t="n">
        <v>169</v>
      </c>
      <c r="G180" s="80" t="n">
        <v>122</v>
      </c>
      <c r="H180" s="83">
        <f>IFERROR(tblAttendance[[#This Row],[Classes Attended]]/tblAttendance[[#This Row],[Classes Held]],0)</f>
        <v>0.72189349112426</v>
      </c>
      <c r="I18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80" s="80">
        <f>IFERROR(INDEX(tblStudents[Total Marks],MATCH(tblAttendance[[#This Row],[StudentID]],tblStudents[StudentID],0)),"Unknown")</f>
        <v>52</v>
      </c>
      <c r="K180" s="82">
        <f>IF(COUNTIFS(tblAttendance[[#This Row],[Branch]],cAt_B,tblAttendance[[#This Row],[Semester]],cAt_S,tblAttendance[[#This Row],[Year]],cAt_Y)=1,tblAttendance[[#This Row],[Attendance %]]+ROW()/1000000000,"")</f>
        <v>0.72189367112426</v>
      </c>
    </row>
    <row r="181">
      <c r="A181" s="79" t="inlineStr">
        <is>
          <t>STU1177</t>
        </is>
      </c>
      <c r="B181" s="79" t="str">
        <f>IFERROR(INDEX(tblStudents[Student Name],MATCH(tblAttendance[[#This Row],[StudentID]],tblStudents[StudentID],0)),"Unknown")</f>
        <v>Palak Agarwal</v>
      </c>
      <c r="C181" s="80" t="str">
        <f>IFERROR(INDEX(tblStudents[Branch],MATCH(tblAttendance[[#This Row],[StudentID]],tblStudents[StudentID],0)),"Unknown")</f>
        <v>CSE</v>
      </c>
      <c r="D181" s="80">
        <f>IFERROR(INDEX(tblStudents[Semester],MATCH(tblAttendance[[#This Row],[StudentID]],tblStudents[StudentID],0)),"Unknown")</f>
        <v>7</v>
      </c>
      <c r="E181" s="80">
        <f>IFERROR(INDEX(tblStudents[Year],MATCH(tblAttendance[[#This Row],[StudentID]],tblStudents[StudentID],0)),"Unknown")</f>
        <v>2024</v>
      </c>
      <c r="F181" s="80" t="n">
        <v>167</v>
      </c>
      <c r="G181" s="80" t="n">
        <v>149</v>
      </c>
      <c r="H181" s="83">
        <f>IFERROR(tblAttendance[[#This Row],[Classes Attended]]/tblAttendance[[#This Row],[Classes Held]],0)</f>
        <v>0.892215568862276</v>
      </c>
      <c r="I18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81" s="80">
        <f>IFERROR(INDEX(tblStudents[Total Marks],MATCH(tblAttendance[[#This Row],[StudentID]],tblStudents[StudentID],0)),"Unknown")</f>
        <v>79</v>
      </c>
      <c r="K181" s="82">
        <f>IF(COUNTIFS(tblAttendance[[#This Row],[Branch]],cAt_B,tblAttendance[[#This Row],[Semester]],cAt_S,tblAttendance[[#This Row],[Year]],cAt_Y)=1,tblAttendance[[#This Row],[Attendance %]]+ROW()/1000000000,"")</f>
        <v>0.892215749862276</v>
      </c>
    </row>
    <row r="182">
      <c r="A182" s="79" t="inlineStr">
        <is>
          <t>STU1178</t>
        </is>
      </c>
      <c r="B182" s="79" t="str">
        <f>IFERROR(INDEX(tblStudents[Student Name],MATCH(tblAttendance[[#This Row],[StudentID]],tblStudents[StudentID],0)),"Unknown")</f>
        <v>Aarushi Goel</v>
      </c>
      <c r="C182" s="80" t="str">
        <f>IFERROR(INDEX(tblStudents[Branch],MATCH(tblAttendance[[#This Row],[StudentID]],tblStudents[StudentID],0)),"Unknown")</f>
        <v>CSE</v>
      </c>
      <c r="D182" s="80">
        <f>IFERROR(INDEX(tblStudents[Semester],MATCH(tblAttendance[[#This Row],[StudentID]],tblStudents[StudentID],0)),"Unknown")</f>
        <v>4</v>
      </c>
      <c r="E182" s="80">
        <f>IFERROR(INDEX(tblStudents[Year],MATCH(tblAttendance[[#This Row],[StudentID]],tblStudents[StudentID],0)),"Unknown")</f>
        <v>2023</v>
      </c>
      <c r="F182" s="80" t="n">
        <v>165</v>
      </c>
      <c r="G182" s="80" t="n">
        <v>148</v>
      </c>
      <c r="H182" s="83">
        <f>IFERROR(tblAttendance[[#This Row],[Classes Attended]]/tblAttendance[[#This Row],[Classes Held]],0)</f>
        <v>0.896969696969697</v>
      </c>
      <c r="I18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82" s="80">
        <f>IFERROR(INDEX(tblStudents[Total Marks],MATCH(tblAttendance[[#This Row],[StudentID]],tblStudents[StudentID],0)),"Unknown")</f>
        <v>77</v>
      </c>
      <c r="K182" s="82">
        <f>IF(COUNTIFS(tblAttendance[[#This Row],[Branch]],cAt_B,tblAttendance[[#This Row],[Semester]],cAt_S,tblAttendance[[#This Row],[Year]],cAt_Y)=1,tblAttendance[[#This Row],[Attendance %]]+ROW()/1000000000,"")</f>
        <v>0.896969878969697</v>
      </c>
    </row>
    <row r="183">
      <c r="A183" s="79" t="inlineStr">
        <is>
          <t>STU1179</t>
        </is>
      </c>
      <c r="B183" s="79" t="str">
        <f>IFERROR(INDEX(tblStudents[Student Name],MATCH(tblAttendance[[#This Row],[StudentID]],tblStudents[StudentID],0)),"Unknown")</f>
        <v>Karan Mittal</v>
      </c>
      <c r="C183" s="80" t="str">
        <f>IFERROR(INDEX(tblStudents[Branch],MATCH(tblAttendance[[#This Row],[StudentID]],tblStudents[StudentID],0)),"Unknown")</f>
        <v>CSE</v>
      </c>
      <c r="D183" s="80">
        <f>IFERROR(INDEX(tblStudents[Semester],MATCH(tblAttendance[[#This Row],[StudentID]],tblStudents[StudentID],0)),"Unknown")</f>
        <v>6</v>
      </c>
      <c r="E183" s="80">
        <f>IFERROR(INDEX(tblStudents[Year],MATCH(tblAttendance[[#This Row],[StudentID]],tblStudents[StudentID],0)),"Unknown")</f>
        <v>2024</v>
      </c>
      <c r="F183" s="80" t="n">
        <v>180</v>
      </c>
      <c r="G183" s="80" t="n">
        <v>164</v>
      </c>
      <c r="H183" s="83">
        <f>IFERROR(tblAttendance[[#This Row],[Classes Attended]]/tblAttendance[[#This Row],[Classes Held]],0)</f>
        <v>0.911111111111111</v>
      </c>
      <c r="I18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83" s="80">
        <f>IFERROR(INDEX(tblStudents[Total Marks],MATCH(tblAttendance[[#This Row],[StudentID]],tblStudents[StudentID],0)),"Unknown")</f>
        <v>79</v>
      </c>
      <c r="K183" s="82">
        <f>IF(COUNTIFS(tblAttendance[[#This Row],[Branch]],cAt_B,tblAttendance[[#This Row],[Semester]],cAt_S,tblAttendance[[#This Row],[Year]],cAt_Y)=1,tblAttendance[[#This Row],[Attendance %]]+ROW()/1000000000,"")</f>
        <v>0.911111294111111</v>
      </c>
    </row>
    <row r="184">
      <c r="A184" s="79" t="inlineStr">
        <is>
          <t>STU1180</t>
        </is>
      </c>
      <c r="B184" s="79" t="str">
        <f>IFERROR(INDEX(tblStudents[Student Name],MATCH(tblAttendance[[#This Row],[StudentID]],tblStudents[StudentID],0)),"Unknown")</f>
        <v>Srishti Pandey</v>
      </c>
      <c r="C184" s="80" t="str">
        <f>IFERROR(INDEX(tblStudents[Branch],MATCH(tblAttendance[[#This Row],[StudentID]],tblStudents[StudentID],0)),"Unknown")</f>
        <v>ME</v>
      </c>
      <c r="D184" s="80">
        <f>IFERROR(INDEX(tblStudents[Semester],MATCH(tblAttendance[[#This Row],[StudentID]],tblStudents[StudentID],0)),"Unknown")</f>
        <v>3</v>
      </c>
      <c r="E184" s="80">
        <f>IFERROR(INDEX(tblStudents[Year],MATCH(tblAttendance[[#This Row],[StudentID]],tblStudents[StudentID],0)),"Unknown")</f>
        <v>2023</v>
      </c>
      <c r="F184" s="80" t="n">
        <v>180</v>
      </c>
      <c r="G184" s="80" t="n">
        <v>137</v>
      </c>
      <c r="H184" s="83">
        <f>IFERROR(tblAttendance[[#This Row],[Classes Attended]]/tblAttendance[[#This Row],[Classes Held]],0)</f>
        <v>0.761111111111111</v>
      </c>
      <c r="I18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84" s="80">
        <f>IFERROR(INDEX(tblStudents[Total Marks],MATCH(tblAttendance[[#This Row],[StudentID]],tblStudents[StudentID],0)),"Unknown")</f>
        <v>41</v>
      </c>
      <c r="K184" s="82">
        <f>IF(COUNTIFS(tblAttendance[[#This Row],[Branch]],cAt_B,tblAttendance[[#This Row],[Semester]],cAt_S,tblAttendance[[#This Row],[Year]],cAt_Y)=1,tblAttendance[[#This Row],[Attendance %]]+ROW()/1000000000,"")</f>
        <v>0.761111295111111</v>
      </c>
    </row>
    <row r="185">
      <c r="A185" s="79" t="inlineStr">
        <is>
          <t>STU1181</t>
        </is>
      </c>
      <c r="B185" s="79" t="str">
        <f>IFERROR(INDEX(tblStudents[Student Name],MATCH(tblAttendance[[#This Row],[StudentID]],tblStudents[StudentID],0)),"Unknown")</f>
        <v>Vikram Kumar</v>
      </c>
      <c r="C185" s="80" t="str">
        <f>IFERROR(INDEX(tblStudents[Branch],MATCH(tblAttendance[[#This Row],[StudentID]],tblStudents[StudentID],0)),"Unknown")</f>
        <v>CSE</v>
      </c>
      <c r="D185" s="80">
        <f>IFERROR(INDEX(tblStudents[Semester],MATCH(tblAttendance[[#This Row],[StudentID]],tblStudents[StudentID],0)),"Unknown")</f>
        <v>7</v>
      </c>
      <c r="E185" s="80">
        <f>IFERROR(INDEX(tblStudents[Year],MATCH(tblAttendance[[#This Row],[StudentID]],tblStudents[StudentID],0)),"Unknown")</f>
        <v>2026</v>
      </c>
      <c r="F185" s="80" t="n">
        <v>185</v>
      </c>
      <c r="G185" s="80" t="n">
        <v>142</v>
      </c>
      <c r="H185" s="83">
        <f>IFERROR(tblAttendance[[#This Row],[Classes Attended]]/tblAttendance[[#This Row],[Classes Held]],0)</f>
        <v>0.767567567567568</v>
      </c>
      <c r="I185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85" s="80">
        <f>IFERROR(INDEX(tblStudents[Total Marks],MATCH(tblAttendance[[#This Row],[StudentID]],tblStudents[StudentID],0)),"Unknown")</f>
        <v>50</v>
      </c>
      <c r="K185" s="82">
        <f>IF(COUNTIFS(tblAttendance[[#This Row],[Branch]],cAt_B,tblAttendance[[#This Row],[Semester]],cAt_S,tblAttendance[[#This Row],[Year]],cAt_Y)=1,tblAttendance[[#This Row],[Attendance %]]+ROW()/1000000000,"")</f>
        <v>0.767567752567568</v>
      </c>
    </row>
    <row r="186">
      <c r="A186" s="79" t="inlineStr">
        <is>
          <t>STU1182</t>
        </is>
      </c>
      <c r="B186" s="79" t="str">
        <f>IFERROR(INDEX(tblStudents[Student Name],MATCH(tblAttendance[[#This Row],[StudentID]],tblStudents[StudentID],0)),"Unknown")</f>
        <v>Kunal Khan</v>
      </c>
      <c r="C186" s="80" t="str">
        <f>IFERROR(INDEX(tblStudents[Branch],MATCH(tblAttendance[[#This Row],[StudentID]],tblStudents[StudentID],0)),"Unknown")</f>
        <v>CSE</v>
      </c>
      <c r="D186" s="80">
        <f>IFERROR(INDEX(tblStudents[Semester],MATCH(tblAttendance[[#This Row],[StudentID]],tblStudents[StudentID],0)),"Unknown")</f>
        <v>2</v>
      </c>
      <c r="E186" s="80">
        <f>IFERROR(INDEX(tblStudents[Year],MATCH(tblAttendance[[#This Row],[StudentID]],tblStudents[StudentID],0)),"Unknown")</f>
        <v>2024</v>
      </c>
      <c r="F186" s="80" t="n">
        <v>165</v>
      </c>
      <c r="G186" s="80" t="n">
        <v>153</v>
      </c>
      <c r="H186" s="83">
        <f>IFERROR(tblAttendance[[#This Row],[Classes Attended]]/tblAttendance[[#This Row],[Classes Held]],0)</f>
        <v>0.927272727272727</v>
      </c>
      <c r="I186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86" s="80">
        <f>IFERROR(INDEX(tblStudents[Total Marks],MATCH(tblAttendance[[#This Row],[StudentID]],tblStudents[StudentID],0)),"Unknown")</f>
        <v>90</v>
      </c>
      <c r="K186" s="82">
        <f>IF(COUNTIFS(tblAttendance[[#This Row],[Branch]],cAt_B,tblAttendance[[#This Row],[Semester]],cAt_S,tblAttendance[[#This Row],[Year]],cAt_Y)=1,tblAttendance[[#This Row],[Attendance %]]+ROW()/1000000000,"")</f>
        <v>0.927272913272727</v>
      </c>
    </row>
    <row r="187">
      <c r="A187" s="79" t="inlineStr">
        <is>
          <t>STU1183</t>
        </is>
      </c>
      <c r="B187" s="79" t="str">
        <f>IFERROR(INDEX(tblStudents[Student Name],MATCH(tblAttendance[[#This Row],[StudentID]],tblStudents[StudentID],0)),"Unknown")</f>
        <v>Tushar Verma</v>
      </c>
      <c r="C187" s="80" t="str">
        <f>IFERROR(INDEX(tblStudents[Branch],MATCH(tblAttendance[[#This Row],[StudentID]],tblStudents[StudentID],0)),"Unknown")</f>
        <v>IT</v>
      </c>
      <c r="D187" s="80">
        <f>IFERROR(INDEX(tblStudents[Semester],MATCH(tblAttendance[[#This Row],[StudentID]],tblStudents[StudentID],0)),"Unknown")</f>
        <v>3</v>
      </c>
      <c r="E187" s="80">
        <f>IFERROR(INDEX(tblStudents[Year],MATCH(tblAttendance[[#This Row],[StudentID]],tblStudents[StudentID],0)),"Unknown")</f>
        <v>2025</v>
      </c>
      <c r="F187" s="80" t="n">
        <v>178</v>
      </c>
      <c r="G187" s="80" t="n">
        <v>168</v>
      </c>
      <c r="H187" s="83">
        <f>IFERROR(tblAttendance[[#This Row],[Classes Attended]]/tblAttendance[[#This Row],[Classes Held]],0)</f>
        <v>0.943820224719101</v>
      </c>
      <c r="I18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87" s="80">
        <f>IFERROR(INDEX(tblStudents[Total Marks],MATCH(tblAttendance[[#This Row],[StudentID]],tblStudents[StudentID],0)),"Unknown")</f>
        <v>72</v>
      </c>
      <c r="K187" s="82">
        <f>IF(COUNTIFS(tblAttendance[[#This Row],[Branch]],cAt_B,tblAttendance[[#This Row],[Semester]],cAt_S,tblAttendance[[#This Row],[Year]],cAt_Y)=1,tblAttendance[[#This Row],[Attendance %]]+ROW()/1000000000,"")</f>
        <v>0.943820411719101</v>
      </c>
    </row>
    <row r="188">
      <c r="A188" s="79" t="inlineStr">
        <is>
          <t>STU1184</t>
        </is>
      </c>
      <c r="B188" s="79" t="str">
        <f>IFERROR(INDEX(tblStudents[Student Name],MATCH(tblAttendance[[#This Row],[StudentID]],tblStudents[StudentID],0)),"Unknown")</f>
        <v>Kritika Thakur</v>
      </c>
      <c r="C188" s="80" t="str">
        <f>IFERROR(INDEX(tblStudents[Branch],MATCH(tblAttendance[[#This Row],[StudentID]],tblStudents[StudentID],0)),"Unknown")</f>
        <v>ME</v>
      </c>
      <c r="D188" s="80">
        <f>IFERROR(INDEX(tblStudents[Semester],MATCH(tblAttendance[[#This Row],[StudentID]],tblStudents[StudentID],0)),"Unknown")</f>
        <v>8</v>
      </c>
      <c r="E188" s="80">
        <f>IFERROR(INDEX(tblStudents[Year],MATCH(tblAttendance[[#This Row],[StudentID]],tblStudents[StudentID],0)),"Unknown")</f>
        <v>2023</v>
      </c>
      <c r="F188" s="80" t="n">
        <v>186</v>
      </c>
      <c r="G188" s="80" t="n">
        <v>137</v>
      </c>
      <c r="H188" s="83">
        <f>IFERROR(tblAttendance[[#This Row],[Classes Attended]]/tblAttendance[[#This Row],[Classes Held]],0)</f>
        <v>0.736559139784946</v>
      </c>
      <c r="I188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88" s="80">
        <f>IFERROR(INDEX(tblStudents[Total Marks],MATCH(tblAttendance[[#This Row],[StudentID]],tblStudents[StudentID],0)),"Unknown")</f>
        <v>63</v>
      </c>
      <c r="K188" s="82">
        <f>IF(COUNTIFS(tblAttendance[[#This Row],[Branch]],cAt_B,tblAttendance[[#This Row],[Semester]],cAt_S,tblAttendance[[#This Row],[Year]],cAt_Y)=1,tblAttendance[[#This Row],[Attendance %]]+ROW()/1000000000,"")</f>
        <v>0.736559327784946</v>
      </c>
    </row>
    <row r="189">
      <c r="A189" s="79" t="inlineStr">
        <is>
          <t>STU1185</t>
        </is>
      </c>
      <c r="B189" s="79" t="str">
        <f>IFERROR(INDEX(tblStudents[Student Name],MATCH(tblAttendance[[#This Row],[StudentID]],tblStudents[StudentID],0)),"Unknown")</f>
        <v>Rajat Gupta</v>
      </c>
      <c r="C189" s="80" t="str">
        <f>IFERROR(INDEX(tblStudents[Branch],MATCH(tblAttendance[[#This Row],[StudentID]],tblStudents[StudentID],0)),"Unknown")</f>
        <v>CE</v>
      </c>
      <c r="D189" s="80">
        <f>IFERROR(INDEX(tblStudents[Semester],MATCH(tblAttendance[[#This Row],[StudentID]],tblStudents[StudentID],0)),"Unknown")</f>
        <v>5</v>
      </c>
      <c r="E189" s="80">
        <f>IFERROR(INDEX(tblStudents[Year],MATCH(tblAttendance[[#This Row],[StudentID]],tblStudents[StudentID],0)),"Unknown")</f>
        <v>2025</v>
      </c>
      <c r="F189" s="80" t="n">
        <v>175</v>
      </c>
      <c r="G189" s="80" t="n">
        <v>164</v>
      </c>
      <c r="H189" s="83">
        <f>IFERROR(tblAttendance[[#This Row],[Classes Attended]]/tblAttendance[[#This Row],[Classes Held]],0)</f>
        <v>0.937142857142857</v>
      </c>
      <c r="I18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89" s="80">
        <f>IFERROR(INDEX(tblStudents[Total Marks],MATCH(tblAttendance[[#This Row],[StudentID]],tblStudents[StudentID],0)),"Unknown")</f>
        <v>93</v>
      </c>
      <c r="K189" s="82">
        <f>IF(COUNTIFS(tblAttendance[[#This Row],[Branch]],cAt_B,tblAttendance[[#This Row],[Semester]],cAt_S,tblAttendance[[#This Row],[Year]],cAt_Y)=1,tblAttendance[[#This Row],[Attendance %]]+ROW()/1000000000,"")</f>
        <v>0.937143046142857</v>
      </c>
    </row>
    <row r="190">
      <c r="A190" s="79" t="inlineStr">
        <is>
          <t>STU1186</t>
        </is>
      </c>
      <c r="B190" s="79" t="str">
        <f>IFERROR(INDEX(tblStudents[Student Name],MATCH(tblAttendance[[#This Row],[StudentID]],tblStudents[StudentID],0)),"Unknown")</f>
        <v>Garima Gupta</v>
      </c>
      <c r="C190" s="80" t="str">
        <f>IFERROR(INDEX(tblStudents[Branch],MATCH(tblAttendance[[#This Row],[StudentID]],tblStudents[StudentID],0)),"Unknown")</f>
        <v>IT</v>
      </c>
      <c r="D190" s="80">
        <f>IFERROR(INDEX(tblStudents[Semester],MATCH(tblAttendance[[#This Row],[StudentID]],tblStudents[StudentID],0)),"Unknown")</f>
        <v>7</v>
      </c>
      <c r="E190" s="80">
        <f>IFERROR(INDEX(tblStudents[Year],MATCH(tblAttendance[[#This Row],[StudentID]],tblStudents[StudentID],0)),"Unknown")</f>
        <v>2025</v>
      </c>
      <c r="F190" s="80" t="n">
        <v>157</v>
      </c>
      <c r="G190" s="80" t="n">
        <v>118</v>
      </c>
      <c r="H190" s="83">
        <f>IFERROR(tblAttendance[[#This Row],[Classes Attended]]/tblAttendance[[#This Row],[Classes Held]],0)</f>
        <v>0.751592356687898</v>
      </c>
      <c r="I190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90" s="80">
        <f>IFERROR(INDEX(tblStudents[Total Marks],MATCH(tblAttendance[[#This Row],[StudentID]],tblStudents[StudentID],0)),"Unknown")</f>
        <v>71</v>
      </c>
      <c r="K190" s="82">
        <f>IF(COUNTIFS(tblAttendance[[#This Row],[Branch]],cAt_B,tblAttendance[[#This Row],[Semester]],cAt_S,tblAttendance[[#This Row],[Year]],cAt_Y)=1,tblAttendance[[#This Row],[Attendance %]]+ROW()/1000000000,"")</f>
        <v>0.751592546687898</v>
      </c>
    </row>
    <row r="191">
      <c r="A191" s="79" t="inlineStr">
        <is>
          <t>STU1187</t>
        </is>
      </c>
      <c r="B191" s="79" t="str">
        <f>IFERROR(INDEX(tblStudents[Student Name],MATCH(tblAttendance[[#This Row],[StudentID]],tblStudents[StudentID],0)),"Unknown")</f>
        <v>Vivaan Shah</v>
      </c>
      <c r="C191" s="80" t="str">
        <f>IFERROR(INDEX(tblStudents[Branch],MATCH(tblAttendance[[#This Row],[StudentID]],tblStudents[StudentID],0)),"Unknown")</f>
        <v>ME</v>
      </c>
      <c r="D191" s="80">
        <f>IFERROR(INDEX(tblStudents[Semester],MATCH(tblAttendance[[#This Row],[StudentID]],tblStudents[StudentID],0)),"Unknown")</f>
        <v>6</v>
      </c>
      <c r="E191" s="80">
        <f>IFERROR(INDEX(tblStudents[Year],MATCH(tblAttendance[[#This Row],[StudentID]],tblStudents[StudentID],0)),"Unknown")</f>
        <v>2023</v>
      </c>
      <c r="F191" s="80" t="n">
        <v>170</v>
      </c>
      <c r="G191" s="80" t="n">
        <v>168</v>
      </c>
      <c r="H191" s="83">
        <f>IFERROR(tblAttendance[[#This Row],[Classes Attended]]/tblAttendance[[#This Row],[Classes Held]],0)</f>
        <v>0.988235294117647</v>
      </c>
      <c r="I19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91" s="80">
        <f>IFERROR(INDEX(tblStudents[Total Marks],MATCH(tblAttendance[[#This Row],[StudentID]],tblStudents[StudentID],0)),"Unknown")</f>
        <v>79</v>
      </c>
      <c r="K191" s="82">
        <f>IF(COUNTIFS(tblAttendance[[#This Row],[Branch]],cAt_B,tblAttendance[[#This Row],[Semester]],cAt_S,tblAttendance[[#This Row],[Year]],cAt_Y)=1,tblAttendance[[#This Row],[Attendance %]]+ROW()/1000000000,"")</f>
        <v>0.988235485117647</v>
      </c>
    </row>
    <row r="192">
      <c r="A192" s="79" t="inlineStr">
        <is>
          <t>STU1188</t>
        </is>
      </c>
      <c r="B192" s="79" t="str">
        <f>IFERROR(INDEX(tblStudents[Student Name],MATCH(tblAttendance[[#This Row],[StudentID]],tblStudents[StudentID],0)),"Unknown")</f>
        <v>Tushar Patel</v>
      </c>
      <c r="C192" s="80" t="str">
        <f>IFERROR(INDEX(tblStudents[Branch],MATCH(tblAttendance[[#This Row],[StudentID]],tblStudents[StudentID],0)),"Unknown")</f>
        <v>CSE</v>
      </c>
      <c r="D192" s="80">
        <f>IFERROR(INDEX(tblStudents[Semester],MATCH(tblAttendance[[#This Row],[StudentID]],tblStudents[StudentID],0)),"Unknown")</f>
        <v>1</v>
      </c>
      <c r="E192" s="80">
        <f>IFERROR(INDEX(tblStudents[Year],MATCH(tblAttendance[[#This Row],[StudentID]],tblStudents[StudentID],0)),"Unknown")</f>
        <v>2024</v>
      </c>
      <c r="F192" s="80" t="n">
        <v>162</v>
      </c>
      <c r="G192" s="80" t="n">
        <v>132</v>
      </c>
      <c r="H192" s="83">
        <f>IFERROR(tblAttendance[[#This Row],[Classes Attended]]/tblAttendance[[#This Row],[Classes Held]],0)</f>
        <v>0.814814814814815</v>
      </c>
      <c r="I19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92" s="80">
        <f>IFERROR(INDEX(tblStudents[Total Marks],MATCH(tblAttendance[[#This Row],[StudentID]],tblStudents[StudentID],0)),"Unknown")</f>
        <v>70</v>
      </c>
      <c r="K192" s="82">
        <f>IF(COUNTIFS(tblAttendance[[#This Row],[Branch]],cAt_B,tblAttendance[[#This Row],[Semester]],cAt_S,tblAttendance[[#This Row],[Year]],cAt_Y)=1,tblAttendance[[#This Row],[Attendance %]]+ROW()/1000000000,"")</f>
        <v>0.814815006814815</v>
      </c>
    </row>
    <row r="193">
      <c r="A193" s="79" t="inlineStr">
        <is>
          <t>STU1189</t>
        </is>
      </c>
      <c r="B193" s="79" t="str">
        <f>IFERROR(INDEX(tblStudents[Student Name],MATCH(tblAttendance[[#This Row],[StudentID]],tblStudents[StudentID],0)),"Unknown")</f>
        <v>Garima Kumar</v>
      </c>
      <c r="C193" s="80" t="str">
        <f>IFERROR(INDEX(tblStudents[Branch],MATCH(tblAttendance[[#This Row],[StudentID]],tblStudents[StudentID],0)),"Unknown")</f>
        <v>IT</v>
      </c>
      <c r="D193" s="80">
        <f>IFERROR(INDEX(tblStudents[Semester],MATCH(tblAttendance[[#This Row],[StudentID]],tblStudents[StudentID],0)),"Unknown")</f>
        <v>1</v>
      </c>
      <c r="E193" s="80">
        <f>IFERROR(INDEX(tblStudents[Year],MATCH(tblAttendance[[#This Row],[StudentID]],tblStudents[StudentID],0)),"Unknown")</f>
        <v>2023</v>
      </c>
      <c r="F193" s="80" t="n">
        <v>173</v>
      </c>
      <c r="G193" s="80" t="n">
        <v>171</v>
      </c>
      <c r="H193" s="83">
        <f>IFERROR(tblAttendance[[#This Row],[Classes Attended]]/tblAttendance[[#This Row],[Classes Held]],0)</f>
        <v>0.988439306358382</v>
      </c>
      <c r="I193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93" s="80">
        <f>IFERROR(INDEX(tblStudents[Total Marks],MATCH(tblAttendance[[#This Row],[StudentID]],tblStudents[StudentID],0)),"Unknown")</f>
        <v>93</v>
      </c>
      <c r="K193" s="82">
        <f>IF(COUNTIFS(tblAttendance[[#This Row],[Branch]],cAt_B,tblAttendance[[#This Row],[Semester]],cAt_S,tblAttendance[[#This Row],[Year]],cAt_Y)=1,tblAttendance[[#This Row],[Attendance %]]+ROW()/1000000000,"")</f>
        <v>0.988439499358382</v>
      </c>
    </row>
    <row r="194">
      <c r="A194" s="79" t="inlineStr">
        <is>
          <t>STU1190</t>
        </is>
      </c>
      <c r="B194" s="79" t="str">
        <f>IFERROR(INDEX(tblStudents[Student Name],MATCH(tblAttendance[[#This Row],[StudentID]],tblStudents[StudentID],0)),"Unknown")</f>
        <v>Tanvi Malik</v>
      </c>
      <c r="C194" s="80" t="str">
        <f>IFERROR(INDEX(tblStudents[Branch],MATCH(tblAttendance[[#This Row],[StudentID]],tblStudents[StudentID],0)),"Unknown")</f>
        <v>ECE</v>
      </c>
      <c r="D194" s="80">
        <f>IFERROR(INDEX(tblStudents[Semester],MATCH(tblAttendance[[#This Row],[StudentID]],tblStudents[StudentID],0)),"Unknown")</f>
        <v>6</v>
      </c>
      <c r="E194" s="80">
        <f>IFERROR(INDEX(tblStudents[Year],MATCH(tblAttendance[[#This Row],[StudentID]],tblStudents[StudentID],0)),"Unknown")</f>
        <v>2023</v>
      </c>
      <c r="F194" s="80" t="n">
        <v>159</v>
      </c>
      <c r="G194" s="80" t="n">
        <v>140</v>
      </c>
      <c r="H194" s="83">
        <f>IFERROR(tblAttendance[[#This Row],[Classes Attended]]/tblAttendance[[#This Row],[Classes Held]],0)</f>
        <v>0.880503144654088</v>
      </c>
      <c r="I19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194" s="80">
        <f>IFERROR(INDEX(tblStudents[Total Marks],MATCH(tblAttendance[[#This Row],[StudentID]],tblStudents[StudentID],0)),"Unknown")</f>
        <v>69</v>
      </c>
      <c r="K194" s="82">
        <f>IF(COUNTIFS(tblAttendance[[#This Row],[Branch]],cAt_B,tblAttendance[[#This Row],[Semester]],cAt_S,tblAttendance[[#This Row],[Year]],cAt_Y)=1,tblAttendance[[#This Row],[Attendance %]]+ROW()/1000000000,"")</f>
        <v>0.880503338654088</v>
      </c>
    </row>
    <row r="195">
      <c r="A195" s="79" t="inlineStr">
        <is>
          <t>STU1191</t>
        </is>
      </c>
      <c r="B195" s="79" t="str">
        <f>IFERROR(INDEX(tblStudents[Student Name],MATCH(tblAttendance[[#This Row],[StudentID]],tblStudents[StudentID],0)),"Unknown")</f>
        <v>Parth Pandey</v>
      </c>
      <c r="C195" s="80" t="str">
        <f>IFERROR(INDEX(tblStudents[Branch],MATCH(tblAttendance[[#This Row],[StudentID]],tblStudents[StudentID],0)),"Unknown")</f>
        <v>CE</v>
      </c>
      <c r="D195" s="80">
        <f>IFERROR(INDEX(tblStudents[Semester],MATCH(tblAttendance[[#This Row],[StudentID]],tblStudents[StudentID],0)),"Unknown")</f>
        <v>1</v>
      </c>
      <c r="E195" s="80">
        <f>IFERROR(INDEX(tblStudents[Year],MATCH(tblAttendance[[#This Row],[StudentID]],tblStudents[StudentID],0)),"Unknown")</f>
        <v>2024</v>
      </c>
      <c r="F195" s="80" t="n">
        <v>156</v>
      </c>
      <c r="G195" s="80" t="n">
        <v>146</v>
      </c>
      <c r="H195" s="83">
        <f>IFERROR(tblAttendance[[#This Row],[Classes Attended]]/tblAttendance[[#This Row],[Classes Held]],0)</f>
        <v>0.935897435897436</v>
      </c>
      <c r="I19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195" s="80">
        <f>IFERROR(INDEX(tblStudents[Total Marks],MATCH(tblAttendance[[#This Row],[StudentID]],tblStudents[StudentID],0)),"Unknown")</f>
        <v>58</v>
      </c>
      <c r="K195" s="82">
        <f>IF(COUNTIFS(tblAttendance[[#This Row],[Branch]],cAt_B,tblAttendance[[#This Row],[Semester]],cAt_S,tblAttendance[[#This Row],[Year]],cAt_Y)=1,tblAttendance[[#This Row],[Attendance %]]+ROW()/1000000000,"")</f>
        <v>0.935897630897436</v>
      </c>
    </row>
    <row r="196">
      <c r="A196" s="79" t="inlineStr">
        <is>
          <t>STU1192</t>
        </is>
      </c>
      <c r="B196" s="79" t="str">
        <f>IFERROR(INDEX(tblStudents[Student Name],MATCH(tblAttendance[[#This Row],[StudentID]],tblStudents[StudentID],0)),"Unknown")</f>
        <v>Rohan Siddiqui</v>
      </c>
      <c r="C196" s="80" t="str">
        <f>IFERROR(INDEX(tblStudents[Branch],MATCH(tblAttendance[[#This Row],[StudentID]],tblStudents[StudentID],0)),"Unknown")</f>
        <v>ME</v>
      </c>
      <c r="D196" s="80">
        <f>IFERROR(INDEX(tblStudents[Semester],MATCH(tblAttendance[[#This Row],[StudentID]],tblStudents[StudentID],0)),"Unknown")</f>
        <v>1</v>
      </c>
      <c r="E196" s="80">
        <f>IFERROR(INDEX(tblStudents[Year],MATCH(tblAttendance[[#This Row],[StudentID]],tblStudents[StudentID],0)),"Unknown")</f>
        <v>2025</v>
      </c>
      <c r="F196" s="80" t="n">
        <v>155</v>
      </c>
      <c r="G196" s="80" t="n">
        <v>109</v>
      </c>
      <c r="H196" s="83">
        <f>IFERROR(tblAttendance[[#This Row],[Classes Attended]]/tblAttendance[[#This Row],[Classes Held]],0)</f>
        <v>0.703225806451613</v>
      </c>
      <c r="I19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96" s="80">
        <f>IFERROR(INDEX(tblStudents[Total Marks],MATCH(tblAttendance[[#This Row],[StudentID]],tblStudents[StudentID],0)),"Unknown")</f>
        <v>38</v>
      </c>
      <c r="K196" s="82">
        <f>IF(COUNTIFS(tblAttendance[[#This Row],[Branch]],cAt_B,tblAttendance[[#This Row],[Semester]],cAt_S,tblAttendance[[#This Row],[Year]],cAt_Y)=1,tblAttendance[[#This Row],[Attendance %]]+ROW()/1000000000,"")</f>
        <v>0.703226002451613</v>
      </c>
    </row>
    <row r="197">
      <c r="A197" s="79" t="inlineStr">
        <is>
          <t>STU1193</t>
        </is>
      </c>
      <c r="B197" s="79" t="str">
        <f>IFERROR(INDEX(tblStudents[Student Name],MATCH(tblAttendance[[#This Row],[StudentID]],tblStudents[StudentID],0)),"Unknown")</f>
        <v>Anjali Rastogi</v>
      </c>
      <c r="C197" s="80" t="str">
        <f>IFERROR(INDEX(tblStudents[Branch],MATCH(tblAttendance[[#This Row],[StudentID]],tblStudents[StudentID],0)),"Unknown")</f>
        <v>ME</v>
      </c>
      <c r="D197" s="80">
        <f>IFERROR(INDEX(tblStudents[Semester],MATCH(tblAttendance[[#This Row],[StudentID]],tblStudents[StudentID],0)),"Unknown")</f>
        <v>4</v>
      </c>
      <c r="E197" s="80">
        <f>IFERROR(INDEX(tblStudents[Year],MATCH(tblAttendance[[#This Row],[StudentID]],tblStudents[StudentID],0)),"Unknown")</f>
        <v>2024</v>
      </c>
      <c r="F197" s="80" t="n">
        <v>181</v>
      </c>
      <c r="G197" s="80" t="n">
        <v>142</v>
      </c>
      <c r="H197" s="83">
        <f>IFERROR(tblAttendance[[#This Row],[Classes Attended]]/tblAttendance[[#This Row],[Classes Held]],0)</f>
        <v>0.784530386740332</v>
      </c>
      <c r="I197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197" s="80">
        <f>IFERROR(INDEX(tblStudents[Total Marks],MATCH(tblAttendance[[#This Row],[StudentID]],tblStudents[StudentID],0)),"Unknown")</f>
        <v>53</v>
      </c>
      <c r="K197" s="82">
        <f>IF(COUNTIFS(tblAttendance[[#This Row],[Branch]],cAt_B,tblAttendance[[#This Row],[Semester]],cAt_S,tblAttendance[[#This Row],[Year]],cAt_Y)=1,tblAttendance[[#This Row],[Attendance %]]+ROW()/1000000000,"")</f>
        <v>0.784530583740332</v>
      </c>
    </row>
    <row r="198">
      <c r="A198" s="79" t="inlineStr">
        <is>
          <t>STU1194</t>
        </is>
      </c>
      <c r="B198" s="79" t="str">
        <f>IFERROR(INDEX(tblStudents[Student Name],MATCH(tblAttendance[[#This Row],[StudentID]],tblStudents[StudentID],0)),"Unknown")</f>
        <v>Abhishek Khan</v>
      </c>
      <c r="C198" s="80" t="str">
        <f>IFERROR(INDEX(tblStudents[Branch],MATCH(tblAttendance[[#This Row],[StudentID]],tblStudents[StudentID],0)),"Unknown")</f>
        <v>ECE</v>
      </c>
      <c r="D198" s="80">
        <f>IFERROR(INDEX(tblStudents[Semester],MATCH(tblAttendance[[#This Row],[StudentID]],tblStudents[StudentID],0)),"Unknown")</f>
        <v>5</v>
      </c>
      <c r="E198" s="80">
        <f>IFERROR(INDEX(tblStudents[Year],MATCH(tblAttendance[[#This Row],[StudentID]],tblStudents[StudentID],0)),"Unknown")</f>
        <v>2024</v>
      </c>
      <c r="F198" s="80" t="n">
        <v>158</v>
      </c>
      <c r="G198" s="80" t="n">
        <v>114</v>
      </c>
      <c r="H198" s="83">
        <f>IFERROR(tblAttendance[[#This Row],[Classes Attended]]/tblAttendance[[#This Row],[Classes Held]],0)</f>
        <v>0.721518987341772</v>
      </c>
      <c r="I198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98" s="80">
        <f>IFERROR(INDEX(tblStudents[Total Marks],MATCH(tblAttendance[[#This Row],[StudentID]],tblStudents[StudentID],0)),"Unknown")</f>
        <v>58</v>
      </c>
      <c r="K198" s="82">
        <f>IF(COUNTIFS(tblAttendance[[#This Row],[Branch]],cAt_B,tblAttendance[[#This Row],[Semester]],cAt_S,tblAttendance[[#This Row],[Year]],cAt_Y)=1,tblAttendance[[#This Row],[Attendance %]]+ROW()/1000000000,"")</f>
        <v>0.721519185341772</v>
      </c>
    </row>
    <row r="199">
      <c r="A199" s="79" t="inlineStr">
        <is>
          <t>STU1195</t>
        </is>
      </c>
      <c r="B199" s="79" t="str">
        <f>IFERROR(INDEX(tblStudents[Student Name],MATCH(tblAttendance[[#This Row],[StudentID]],tblStudents[StudentID],0)),"Unknown")</f>
        <v>Yash Dubey</v>
      </c>
      <c r="C199" s="80" t="str">
        <f>IFERROR(INDEX(tblStudents[Branch],MATCH(tblAttendance[[#This Row],[StudentID]],tblStudents[StudentID],0)),"Unknown")</f>
        <v>ECE</v>
      </c>
      <c r="D199" s="80">
        <f>IFERROR(INDEX(tblStudents[Semester],MATCH(tblAttendance[[#This Row],[StudentID]],tblStudents[StudentID],0)),"Unknown")</f>
        <v>1</v>
      </c>
      <c r="E199" s="80">
        <f>IFERROR(INDEX(tblStudents[Year],MATCH(tblAttendance[[#This Row],[StudentID]],tblStudents[StudentID],0)),"Unknown")</f>
        <v>2026</v>
      </c>
      <c r="F199" s="80" t="n">
        <v>152</v>
      </c>
      <c r="G199" s="80" t="n">
        <v>111</v>
      </c>
      <c r="H199" s="83">
        <f>IFERROR(tblAttendance[[#This Row],[Classes Attended]]/tblAttendance[[#This Row],[Classes Held]],0)</f>
        <v>0.730263157894737</v>
      </c>
      <c r="I199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199" s="80">
        <f>IFERROR(INDEX(tblStudents[Total Marks],MATCH(tblAttendance[[#This Row],[StudentID]],tblStudents[StudentID],0)),"Unknown")</f>
        <v>57</v>
      </c>
      <c r="K199" s="82">
        <f>IF(COUNTIFS(tblAttendance[[#This Row],[Branch]],cAt_B,tblAttendance[[#This Row],[Semester]],cAt_S,tblAttendance[[#This Row],[Year]],cAt_Y)=1,tblAttendance[[#This Row],[Attendance %]]+ROW()/1000000000,"")</f>
        <v>0.730263356894737</v>
      </c>
    </row>
    <row r="200">
      <c r="A200" s="79" t="inlineStr">
        <is>
          <t>STU1196</t>
        </is>
      </c>
      <c r="B200" s="79" t="str">
        <f>IFERROR(INDEX(tblStudents[Student Name],MATCH(tblAttendance[[#This Row],[StudentID]],tblStudents[StudentID],0)),"Unknown")</f>
        <v>Shubham Chauhan</v>
      </c>
      <c r="C200" s="80" t="str">
        <f>IFERROR(INDEX(tblStudents[Branch],MATCH(tblAttendance[[#This Row],[StudentID]],tblStudents[StudentID],0)),"Unknown")</f>
        <v>ME</v>
      </c>
      <c r="D200" s="80">
        <f>IFERROR(INDEX(tblStudents[Semester],MATCH(tblAttendance[[#This Row],[StudentID]],tblStudents[StudentID],0)),"Unknown")</f>
        <v>6</v>
      </c>
      <c r="E200" s="80">
        <f>IFERROR(INDEX(tblStudents[Year],MATCH(tblAttendance[[#This Row],[StudentID]],tblStudents[StudentID],0)),"Unknown")</f>
        <v>2026</v>
      </c>
      <c r="F200" s="80" t="n">
        <v>156</v>
      </c>
      <c r="G200" s="80" t="n">
        <v>136</v>
      </c>
      <c r="H200" s="83">
        <f>IFERROR(tblAttendance[[#This Row],[Classes Attended]]/tblAttendance[[#This Row],[Classes Held]],0)</f>
        <v>0.871794871794872</v>
      </c>
      <c r="I200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00" s="80">
        <f>IFERROR(INDEX(tblStudents[Total Marks],MATCH(tblAttendance[[#This Row],[StudentID]],tblStudents[StudentID],0)),"Unknown")</f>
        <v>83</v>
      </c>
      <c r="K200" s="82">
        <f>IF(COUNTIFS(tblAttendance[[#This Row],[Branch]],cAt_B,tblAttendance[[#This Row],[Semester]],cAt_S,tblAttendance[[#This Row],[Year]],cAt_Y)=1,tblAttendance[[#This Row],[Attendance %]]+ROW()/1000000000,"")</f>
        <v>0.871795071794872</v>
      </c>
    </row>
    <row r="201">
      <c r="A201" s="79" t="inlineStr">
        <is>
          <t>STU1197</t>
        </is>
      </c>
      <c r="B201" s="79" t="str">
        <f>IFERROR(INDEX(tblStudents[Student Name],MATCH(tblAttendance[[#This Row],[StudentID]],tblStudents[StudentID],0)),"Unknown")</f>
        <v>Deepak Verma</v>
      </c>
      <c r="C201" s="80" t="str">
        <f>IFERROR(INDEX(tblStudents[Branch],MATCH(tblAttendance[[#This Row],[StudentID]],tblStudents[StudentID],0)),"Unknown")</f>
        <v>ME</v>
      </c>
      <c r="D201" s="80">
        <f>IFERROR(INDEX(tblStudents[Semester],MATCH(tblAttendance[[#This Row],[StudentID]],tblStudents[StudentID],0)),"Unknown")</f>
        <v>7</v>
      </c>
      <c r="E201" s="80">
        <f>IFERROR(INDEX(tblStudents[Year],MATCH(tblAttendance[[#This Row],[StudentID]],tblStudents[StudentID],0)),"Unknown")</f>
        <v>2023</v>
      </c>
      <c r="F201" s="80" t="n">
        <v>179</v>
      </c>
      <c r="G201" s="80" t="n">
        <v>142</v>
      </c>
      <c r="H201" s="83">
        <f>IFERROR(tblAttendance[[#This Row],[Classes Attended]]/tblAttendance[[#This Row],[Classes Held]],0)</f>
        <v>0.793296089385475</v>
      </c>
      <c r="I201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01" s="80">
        <f>IFERROR(INDEX(tblStudents[Total Marks],MATCH(tblAttendance[[#This Row],[StudentID]],tblStudents[StudentID],0)),"Unknown")</f>
        <v>69</v>
      </c>
      <c r="K201" s="82">
        <f>IF(COUNTIFS(tblAttendance[[#This Row],[Branch]],cAt_B,tblAttendance[[#This Row],[Semester]],cAt_S,tblAttendance[[#This Row],[Year]],cAt_Y)=1,tblAttendance[[#This Row],[Attendance %]]+ROW()/1000000000,"")</f>
        <v>0.793296290385475</v>
      </c>
    </row>
    <row r="202">
      <c r="A202" s="79" t="inlineStr">
        <is>
          <t>STU1198</t>
        </is>
      </c>
      <c r="B202" s="79" t="str">
        <f>IFERROR(INDEX(tblStudents[Student Name],MATCH(tblAttendance[[#This Row],[StudentID]],tblStudents[StudentID],0)),"Unknown")</f>
        <v>Mohit Srivastava</v>
      </c>
      <c r="C202" s="80" t="str">
        <f>IFERROR(INDEX(tblStudents[Branch],MATCH(tblAttendance[[#This Row],[StudentID]],tblStudents[StudentID],0)),"Unknown")</f>
        <v>CSE</v>
      </c>
      <c r="D202" s="80">
        <f>IFERROR(INDEX(tblStudents[Semester],MATCH(tblAttendance[[#This Row],[StudentID]],tblStudents[StudentID],0)),"Unknown")</f>
        <v>8</v>
      </c>
      <c r="E202" s="80">
        <f>IFERROR(INDEX(tblStudents[Year],MATCH(tblAttendance[[#This Row],[StudentID]],tblStudents[StudentID],0)),"Unknown")</f>
        <v>2023</v>
      </c>
      <c r="F202" s="80" t="n">
        <v>161</v>
      </c>
      <c r="G202" s="80" t="n">
        <v>99</v>
      </c>
      <c r="H202" s="83">
        <f>IFERROR(tblAttendance[[#This Row],[Classes Attended]]/tblAttendance[[#This Row],[Classes Held]],0)</f>
        <v>0.614906832298137</v>
      </c>
      <c r="I202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02" s="80">
        <f>IFERROR(INDEX(tblStudents[Total Marks],MATCH(tblAttendance[[#This Row],[StudentID]],tblStudents[StudentID],0)),"Unknown")</f>
        <v>49</v>
      </c>
      <c r="K202" s="82">
        <f>IF(COUNTIFS(tblAttendance[[#This Row],[Branch]],cAt_B,tblAttendance[[#This Row],[Semester]],cAt_S,tblAttendance[[#This Row],[Year]],cAt_Y)=1,tblAttendance[[#This Row],[Attendance %]]+ROW()/1000000000,"")</f>
        <v>0.614907034298137</v>
      </c>
    </row>
    <row r="203">
      <c r="A203" s="79" t="inlineStr">
        <is>
          <t>STU1199</t>
        </is>
      </c>
      <c r="B203" s="79" t="str">
        <f>IFERROR(INDEX(tblStudents[Student Name],MATCH(tblAttendance[[#This Row],[StudentID]],tblStudents[StudentID],0)),"Unknown")</f>
        <v>Srishti Mehta</v>
      </c>
      <c r="C203" s="80" t="str">
        <f>IFERROR(INDEX(tblStudents[Branch],MATCH(tblAttendance[[#This Row],[StudentID]],tblStudents[StudentID],0)),"Unknown")</f>
        <v>ECE</v>
      </c>
      <c r="D203" s="80">
        <f>IFERROR(INDEX(tblStudents[Semester],MATCH(tblAttendance[[#This Row],[StudentID]],tblStudents[StudentID],0)),"Unknown")</f>
        <v>7</v>
      </c>
      <c r="E203" s="80">
        <f>IFERROR(INDEX(tblStudents[Year],MATCH(tblAttendance[[#This Row],[StudentID]],tblStudents[StudentID],0)),"Unknown")</f>
        <v>2023</v>
      </c>
      <c r="F203" s="80" t="n">
        <v>157</v>
      </c>
      <c r="G203" s="80" t="n">
        <v>135</v>
      </c>
      <c r="H203" s="83">
        <f>IFERROR(tblAttendance[[#This Row],[Classes Attended]]/tblAttendance[[#This Row],[Classes Held]],0)</f>
        <v>0.859872611464968</v>
      </c>
      <c r="I20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03" s="80">
        <f>IFERROR(INDEX(tblStudents[Total Marks],MATCH(tblAttendance[[#This Row],[StudentID]],tblStudents[StudentID],0)),"Unknown")</f>
        <v>60</v>
      </c>
      <c r="K203" s="82">
        <f>IF(COUNTIFS(tblAttendance[[#This Row],[Branch]],cAt_B,tblAttendance[[#This Row],[Semester]],cAt_S,tblAttendance[[#This Row],[Year]],cAt_Y)=1,tblAttendance[[#This Row],[Attendance %]]+ROW()/1000000000,"")</f>
        <v>0.859872814464968</v>
      </c>
    </row>
    <row r="204">
      <c r="A204" s="79" t="inlineStr">
        <is>
          <t>STU1200</t>
        </is>
      </c>
      <c r="B204" s="79" t="str">
        <f>IFERROR(INDEX(tblStudents[Student Name],MATCH(tblAttendance[[#This Row],[StudentID]],tblStudents[StudentID],0)),"Unknown")</f>
        <v>Sneha Rastogi</v>
      </c>
      <c r="C204" s="80" t="str">
        <f>IFERROR(INDEX(tblStudents[Branch],MATCH(tblAttendance[[#This Row],[StudentID]],tblStudents[StudentID],0)),"Unknown")</f>
        <v>ME</v>
      </c>
      <c r="D204" s="80">
        <f>IFERROR(INDEX(tblStudents[Semester],MATCH(tblAttendance[[#This Row],[StudentID]],tblStudents[StudentID],0)),"Unknown")</f>
        <v>5</v>
      </c>
      <c r="E204" s="80">
        <f>IFERROR(INDEX(tblStudents[Year],MATCH(tblAttendance[[#This Row],[StudentID]],tblStudents[StudentID],0)),"Unknown")</f>
        <v>2023</v>
      </c>
      <c r="F204" s="80" t="n">
        <v>154</v>
      </c>
      <c r="G204" s="80" t="n">
        <v>126</v>
      </c>
      <c r="H204" s="83">
        <f>IFERROR(tblAttendance[[#This Row],[Classes Attended]]/tblAttendance[[#This Row],[Classes Held]],0)</f>
        <v>0.818181818181818</v>
      </c>
      <c r="I204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04" s="80">
        <f>IFERROR(INDEX(tblStudents[Total Marks],MATCH(tblAttendance[[#This Row],[StudentID]],tblStudents[StudentID],0)),"Unknown")</f>
        <v>53</v>
      </c>
      <c r="K204" s="82">
        <f>IF(COUNTIFS(tblAttendance[[#This Row],[Branch]],cAt_B,tblAttendance[[#This Row],[Semester]],cAt_S,tblAttendance[[#This Row],[Year]],cAt_Y)=1,tblAttendance[[#This Row],[Attendance %]]+ROW()/1000000000,"")</f>
        <v>0.818182022181818</v>
      </c>
    </row>
    <row r="205">
      <c r="A205" s="79" t="inlineStr">
        <is>
          <t>STU1201</t>
        </is>
      </c>
      <c r="B205" s="79" t="str">
        <f>IFERROR(INDEX(tblStudents[Student Name],MATCH(tblAttendance[[#This Row],[StudentID]],tblStudents[StudentID],0)),"Unknown")</f>
        <v>Ritika Rastogi</v>
      </c>
      <c r="C205" s="80" t="str">
        <f>IFERROR(INDEX(tblStudents[Branch],MATCH(tblAttendance[[#This Row],[StudentID]],tblStudents[StudentID],0)),"Unknown")</f>
        <v>CSE</v>
      </c>
      <c r="D205" s="80">
        <f>IFERROR(INDEX(tblStudents[Semester],MATCH(tblAttendance[[#This Row],[StudentID]],tblStudents[StudentID],0)),"Unknown")</f>
        <v>5</v>
      </c>
      <c r="E205" s="80">
        <f>IFERROR(INDEX(tblStudents[Year],MATCH(tblAttendance[[#This Row],[StudentID]],tblStudents[StudentID],0)),"Unknown")</f>
        <v>2024</v>
      </c>
      <c r="F205" s="80" t="n">
        <v>157</v>
      </c>
      <c r="G205" s="80" t="n">
        <v>149</v>
      </c>
      <c r="H205" s="83">
        <f>IFERROR(tblAttendance[[#This Row],[Classes Attended]]/tblAttendance[[#This Row],[Classes Held]],0)</f>
        <v>0.949044585987261</v>
      </c>
      <c r="I20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05" s="80">
        <f>IFERROR(INDEX(tblStudents[Total Marks],MATCH(tblAttendance[[#This Row],[StudentID]],tblStudents[StudentID],0)),"Unknown")</f>
        <v>81</v>
      </c>
      <c r="K205" s="82">
        <f>IF(COUNTIFS(tblAttendance[[#This Row],[Branch]],cAt_B,tblAttendance[[#This Row],[Semester]],cAt_S,tblAttendance[[#This Row],[Year]],cAt_Y)=1,tblAttendance[[#This Row],[Attendance %]]+ROW()/1000000000,"")</f>
        <v>0.949044790987261</v>
      </c>
    </row>
    <row r="206">
      <c r="A206" s="79" t="inlineStr">
        <is>
          <t>STU1202</t>
        </is>
      </c>
      <c r="B206" s="79" t="str">
        <f>IFERROR(INDEX(tblStudents[Student Name],MATCH(tblAttendance[[#This Row],[StudentID]],tblStudents[StudentID],0)),"Unknown")</f>
        <v>Kartik Singh</v>
      </c>
      <c r="C206" s="80" t="str">
        <f>IFERROR(INDEX(tblStudents[Branch],MATCH(tblAttendance[[#This Row],[StudentID]],tblStudents[StudentID],0)),"Unknown")</f>
        <v>CE</v>
      </c>
      <c r="D206" s="80">
        <f>IFERROR(INDEX(tblStudents[Semester],MATCH(tblAttendance[[#This Row],[StudentID]],tblStudents[StudentID],0)),"Unknown")</f>
        <v>6</v>
      </c>
      <c r="E206" s="80">
        <f>IFERROR(INDEX(tblStudents[Year],MATCH(tblAttendance[[#This Row],[StudentID]],tblStudents[StudentID],0)),"Unknown")</f>
        <v>2026</v>
      </c>
      <c r="F206" s="80" t="n">
        <v>175</v>
      </c>
      <c r="G206" s="80" t="n">
        <v>110</v>
      </c>
      <c r="H206" s="83">
        <f>IFERROR(tblAttendance[[#This Row],[Classes Attended]]/tblAttendance[[#This Row],[Classes Held]],0)</f>
        <v>0.628571428571429</v>
      </c>
      <c r="I206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06" s="80">
        <f>IFERROR(INDEX(tblStudents[Total Marks],MATCH(tblAttendance[[#This Row],[StudentID]],tblStudents[StudentID],0)),"Unknown")</f>
        <v>39</v>
      </c>
      <c r="K206" s="82">
        <f>IF(COUNTIFS(tblAttendance[[#This Row],[Branch]],cAt_B,tblAttendance[[#This Row],[Semester]],cAt_S,tblAttendance[[#This Row],[Year]],cAt_Y)=1,tblAttendance[[#This Row],[Attendance %]]+ROW()/1000000000,"")</f>
        <v>0.628571634571429</v>
      </c>
    </row>
    <row r="207">
      <c r="A207" s="79" t="inlineStr">
        <is>
          <t>STU1203</t>
        </is>
      </c>
      <c r="B207" s="79" t="str">
        <f>IFERROR(INDEX(tblStudents[Student Name],MATCH(tblAttendance[[#This Row],[StudentID]],tblStudents[StudentID],0)),"Unknown")</f>
        <v>Aarushi Iyer</v>
      </c>
      <c r="C207" s="80" t="str">
        <f>IFERROR(INDEX(tblStudents[Branch],MATCH(tblAttendance[[#This Row],[StudentID]],tblStudents[StudentID],0)),"Unknown")</f>
        <v>ECE</v>
      </c>
      <c r="D207" s="80">
        <f>IFERROR(INDEX(tblStudents[Semester],MATCH(tblAttendance[[#This Row],[StudentID]],tblStudents[StudentID],0)),"Unknown")</f>
        <v>3</v>
      </c>
      <c r="E207" s="80">
        <f>IFERROR(INDEX(tblStudents[Year],MATCH(tblAttendance[[#This Row],[StudentID]],tblStudents[StudentID],0)),"Unknown")</f>
        <v>2024</v>
      </c>
      <c r="F207" s="80" t="n">
        <v>172</v>
      </c>
      <c r="G207" s="80" t="n">
        <v>152</v>
      </c>
      <c r="H207" s="83">
        <f>IFERROR(tblAttendance[[#This Row],[Classes Attended]]/tblAttendance[[#This Row],[Classes Held]],0)</f>
        <v>0.883720930232558</v>
      </c>
      <c r="I20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07" s="80">
        <f>IFERROR(INDEX(tblStudents[Total Marks],MATCH(tblAttendance[[#This Row],[StudentID]],tblStudents[StudentID],0)),"Unknown")</f>
        <v>94</v>
      </c>
      <c r="K207" s="82">
        <f>IF(COUNTIFS(tblAttendance[[#This Row],[Branch]],cAt_B,tblAttendance[[#This Row],[Semester]],cAt_S,tblAttendance[[#This Row],[Year]],cAt_Y)=1,tblAttendance[[#This Row],[Attendance %]]+ROW()/1000000000,"")</f>
        <v>0.883721137232558</v>
      </c>
    </row>
    <row r="208">
      <c r="A208" s="79" t="inlineStr">
        <is>
          <t>STU1204</t>
        </is>
      </c>
      <c r="B208" s="79" t="str">
        <f>IFERROR(INDEX(tblStudents[Student Name],MATCH(tblAttendance[[#This Row],[StudentID]],tblStudents[StudentID],0)),"Unknown")</f>
        <v>Riya Joshi</v>
      </c>
      <c r="C208" s="80" t="str">
        <f>IFERROR(INDEX(tblStudents[Branch],MATCH(tblAttendance[[#This Row],[StudentID]],tblStudents[StudentID],0)),"Unknown")</f>
        <v>IT</v>
      </c>
      <c r="D208" s="80">
        <f>IFERROR(INDEX(tblStudents[Semester],MATCH(tblAttendance[[#This Row],[StudentID]],tblStudents[StudentID],0)),"Unknown")</f>
        <v>1</v>
      </c>
      <c r="E208" s="80">
        <f>IFERROR(INDEX(tblStudents[Year],MATCH(tblAttendance[[#This Row],[StudentID]],tblStudents[StudentID],0)),"Unknown")</f>
        <v>2024</v>
      </c>
      <c r="F208" s="80" t="n">
        <v>185</v>
      </c>
      <c r="G208" s="80" t="n">
        <v>142</v>
      </c>
      <c r="H208" s="83">
        <f>IFERROR(tblAttendance[[#This Row],[Classes Attended]]/tblAttendance[[#This Row],[Classes Held]],0)</f>
        <v>0.767567567567568</v>
      </c>
      <c r="I208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08" s="80">
        <f>IFERROR(INDEX(tblStudents[Total Marks],MATCH(tblAttendance[[#This Row],[StudentID]],tblStudents[StudentID],0)),"Unknown")</f>
        <v>57</v>
      </c>
      <c r="K208" s="82">
        <f>IF(COUNTIFS(tblAttendance[[#This Row],[Branch]],cAt_B,tblAttendance[[#This Row],[Semester]],cAt_S,tblAttendance[[#This Row],[Year]],cAt_Y)=1,tblAttendance[[#This Row],[Attendance %]]+ROW()/1000000000,"")</f>
        <v>0.767567775567568</v>
      </c>
    </row>
    <row r="209">
      <c r="A209" s="79" t="inlineStr">
        <is>
          <t>STU1205</t>
        </is>
      </c>
      <c r="B209" s="79" t="str">
        <f>IFERROR(INDEX(tblStudents[Student Name],MATCH(tblAttendance[[#This Row],[StudentID]],tblStudents[StudentID],0)),"Unknown")</f>
        <v>Radhika Kumar</v>
      </c>
      <c r="C209" s="80" t="str">
        <f>IFERROR(INDEX(tblStudents[Branch],MATCH(tblAttendance[[#This Row],[StudentID]],tblStudents[StudentID],0)),"Unknown")</f>
        <v>IT</v>
      </c>
      <c r="D209" s="80">
        <f>IFERROR(INDEX(tblStudents[Semester],MATCH(tblAttendance[[#This Row],[StudentID]],tblStudents[StudentID],0)),"Unknown")</f>
        <v>7</v>
      </c>
      <c r="E209" s="80">
        <f>IFERROR(INDEX(tblStudents[Year],MATCH(tblAttendance[[#This Row],[StudentID]],tblStudents[StudentID],0)),"Unknown")</f>
        <v>2026</v>
      </c>
      <c r="F209" s="80" t="n">
        <v>166</v>
      </c>
      <c r="G209" s="80" t="n">
        <v>114</v>
      </c>
      <c r="H209" s="83">
        <f>IFERROR(tblAttendance[[#This Row],[Classes Attended]]/tblAttendance[[#This Row],[Classes Held]],0)</f>
        <v>0.686746987951807</v>
      </c>
      <c r="I209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09" s="80">
        <f>IFERROR(INDEX(tblStudents[Total Marks],MATCH(tblAttendance[[#This Row],[StudentID]],tblStudents[StudentID],0)),"Unknown")</f>
        <v>50</v>
      </c>
      <c r="K209" s="82">
        <f>IF(COUNTIFS(tblAttendance[[#This Row],[Branch]],cAt_B,tblAttendance[[#This Row],[Semester]],cAt_S,tblAttendance[[#This Row],[Year]],cAt_Y)=1,tblAttendance[[#This Row],[Attendance %]]+ROW()/1000000000,"")</f>
        <v>0.686747196951807</v>
      </c>
    </row>
    <row r="210">
      <c r="A210" s="79" t="inlineStr">
        <is>
          <t>STU1206</t>
        </is>
      </c>
      <c r="B210" s="79" t="str">
        <f>IFERROR(INDEX(tblStudents[Student Name],MATCH(tblAttendance[[#This Row],[StudentID]],tblStudents[StudentID],0)),"Unknown")</f>
        <v>Vaishnavi Ansari</v>
      </c>
      <c r="C210" s="80" t="str">
        <f>IFERROR(INDEX(tblStudents[Branch],MATCH(tblAttendance[[#This Row],[StudentID]],tblStudents[StudentID],0)),"Unknown")</f>
        <v>IT</v>
      </c>
      <c r="D210" s="80">
        <f>IFERROR(INDEX(tblStudents[Semester],MATCH(tblAttendance[[#This Row],[StudentID]],tblStudents[StudentID],0)),"Unknown")</f>
        <v>6</v>
      </c>
      <c r="E210" s="80">
        <f>IFERROR(INDEX(tblStudents[Year],MATCH(tblAttendance[[#This Row],[StudentID]],tblStudents[StudentID],0)),"Unknown")</f>
        <v>2025</v>
      </c>
      <c r="F210" s="80" t="n">
        <v>190</v>
      </c>
      <c r="G210" s="80" t="n">
        <v>122</v>
      </c>
      <c r="H210" s="83">
        <f>IFERROR(tblAttendance[[#This Row],[Classes Attended]]/tblAttendance[[#This Row],[Classes Held]],0)</f>
        <v>0.642105263157895</v>
      </c>
      <c r="I210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10" s="80">
        <f>IFERROR(INDEX(tblStudents[Total Marks],MATCH(tblAttendance[[#This Row],[StudentID]],tblStudents[StudentID],0)),"Unknown")</f>
        <v>40</v>
      </c>
      <c r="K210" s="82">
        <f>IF(COUNTIFS(tblAttendance[[#This Row],[Branch]],cAt_B,tblAttendance[[#This Row],[Semester]],cAt_S,tblAttendance[[#This Row],[Year]],cAt_Y)=1,tblAttendance[[#This Row],[Attendance %]]+ROW()/1000000000,"")</f>
        <v>0.642105473157895</v>
      </c>
    </row>
    <row r="211">
      <c r="A211" s="79" t="inlineStr">
        <is>
          <t>STU1207</t>
        </is>
      </c>
      <c r="B211" s="79" t="str">
        <f>IFERROR(INDEX(tblStudents[Student Name],MATCH(tblAttendance[[#This Row],[StudentID]],tblStudents[StudentID],0)),"Unknown")</f>
        <v>Komal Khan</v>
      </c>
      <c r="C211" s="80" t="str">
        <f>IFERROR(INDEX(tblStudents[Branch],MATCH(tblAttendance[[#This Row],[StudentID]],tblStudents[StudentID],0)),"Unknown")</f>
        <v>CSE</v>
      </c>
      <c r="D211" s="80">
        <f>IFERROR(INDEX(tblStudents[Semester],MATCH(tblAttendance[[#This Row],[StudentID]],tblStudents[StudentID],0)),"Unknown")</f>
        <v>7</v>
      </c>
      <c r="E211" s="80">
        <f>IFERROR(INDEX(tblStudents[Year],MATCH(tblAttendance[[#This Row],[StudentID]],tblStudents[StudentID],0)),"Unknown")</f>
        <v>2026</v>
      </c>
      <c r="F211" s="80" t="n">
        <v>153</v>
      </c>
      <c r="G211" s="80" t="n">
        <v>145</v>
      </c>
      <c r="H211" s="83">
        <f>IFERROR(tblAttendance[[#This Row],[Classes Attended]]/tblAttendance[[#This Row],[Classes Held]],0)</f>
        <v>0.947712418300654</v>
      </c>
      <c r="I211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11" s="80">
        <f>IFERROR(INDEX(tblStudents[Total Marks],MATCH(tblAttendance[[#This Row],[StudentID]],tblStudents[StudentID],0)),"Unknown")</f>
        <v>82</v>
      </c>
      <c r="K211" s="82">
        <f>IF(COUNTIFS(tblAttendance[[#This Row],[Branch]],cAt_B,tblAttendance[[#This Row],[Semester]],cAt_S,tblAttendance[[#This Row],[Year]],cAt_Y)=1,tblAttendance[[#This Row],[Attendance %]]+ROW()/1000000000,"")</f>
        <v>0.947712629300654</v>
      </c>
    </row>
    <row r="212">
      <c r="A212" s="79" t="inlineStr">
        <is>
          <t>STU1208</t>
        </is>
      </c>
      <c r="B212" s="79" t="str">
        <f>IFERROR(INDEX(tblStudents[Student Name],MATCH(tblAttendance[[#This Row],[StudentID]],tblStudents[StudentID],0)),"Unknown")</f>
        <v>Deepak Malik</v>
      </c>
      <c r="C212" s="80" t="str">
        <f>IFERROR(INDEX(tblStudents[Branch],MATCH(tblAttendance[[#This Row],[StudentID]],tblStudents[StudentID],0)),"Unknown")</f>
        <v>IT</v>
      </c>
      <c r="D212" s="80">
        <f>IFERROR(INDEX(tblStudents[Semester],MATCH(tblAttendance[[#This Row],[StudentID]],tblStudents[StudentID],0)),"Unknown")</f>
        <v>8</v>
      </c>
      <c r="E212" s="80">
        <f>IFERROR(INDEX(tblStudents[Year],MATCH(tblAttendance[[#This Row],[StudentID]],tblStudents[StudentID],0)),"Unknown")</f>
        <v>2023</v>
      </c>
      <c r="F212" s="80" t="n">
        <v>183</v>
      </c>
      <c r="G212" s="80" t="n">
        <v>157</v>
      </c>
      <c r="H212" s="83">
        <f>IFERROR(tblAttendance[[#This Row],[Classes Attended]]/tblAttendance[[#This Row],[Classes Held]],0)</f>
        <v>0.85792349726776</v>
      </c>
      <c r="I21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12" s="80">
        <f>IFERROR(INDEX(tblStudents[Total Marks],MATCH(tblAttendance[[#This Row],[StudentID]],tblStudents[StudentID],0)),"Unknown")</f>
        <v>68</v>
      </c>
      <c r="K212" s="82">
        <f>IF(COUNTIFS(tblAttendance[[#This Row],[Branch]],cAt_B,tblAttendance[[#This Row],[Semester]],cAt_S,tblAttendance[[#This Row],[Year]],cAt_Y)=1,tblAttendance[[#This Row],[Attendance %]]+ROW()/1000000000,"")</f>
        <v>0.85792370926776</v>
      </c>
    </row>
    <row r="213">
      <c r="A213" s="79" t="inlineStr">
        <is>
          <t>STU1209</t>
        </is>
      </c>
      <c r="B213" s="79" t="str">
        <f>IFERROR(INDEX(tblStudents[Student Name],MATCH(tblAttendance[[#This Row],[StudentID]],tblStudents[StudentID],0)),"Unknown")</f>
        <v>Abhishek Goel</v>
      </c>
      <c r="C213" s="80" t="str">
        <f>IFERROR(INDEX(tblStudents[Branch],MATCH(tblAttendance[[#This Row],[StudentID]],tblStudents[StudentID],0)),"Unknown")</f>
        <v>CSE</v>
      </c>
      <c r="D213" s="80">
        <f>IFERROR(INDEX(tblStudents[Semester],MATCH(tblAttendance[[#This Row],[StudentID]],tblStudents[StudentID],0)),"Unknown")</f>
        <v>4</v>
      </c>
      <c r="E213" s="80">
        <f>IFERROR(INDEX(tblStudents[Year],MATCH(tblAttendance[[#This Row],[StudentID]],tblStudents[StudentID],0)),"Unknown")</f>
        <v>2024</v>
      </c>
      <c r="F213" s="80" t="n">
        <v>151</v>
      </c>
      <c r="G213" s="80" t="n">
        <v>132</v>
      </c>
      <c r="H213" s="83">
        <f>IFERROR(tblAttendance[[#This Row],[Classes Attended]]/tblAttendance[[#This Row],[Classes Held]],0)</f>
        <v>0.874172185430464</v>
      </c>
      <c r="I21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13" s="80">
        <f>IFERROR(INDEX(tblStudents[Total Marks],MATCH(tblAttendance[[#This Row],[StudentID]],tblStudents[StudentID],0)),"Unknown")</f>
        <v>77</v>
      </c>
      <c r="K213" s="82">
        <f>IF(COUNTIFS(tblAttendance[[#This Row],[Branch]],cAt_B,tblAttendance[[#This Row],[Semester]],cAt_S,tblAttendance[[#This Row],[Year]],cAt_Y)=1,tblAttendance[[#This Row],[Attendance %]]+ROW()/1000000000,"")</f>
        <v>0.874172398430464</v>
      </c>
    </row>
    <row r="214">
      <c r="A214" s="79" t="inlineStr">
        <is>
          <t>STU1210</t>
        </is>
      </c>
      <c r="B214" s="79" t="str">
        <f>IFERROR(INDEX(tblStudents[Student Name],MATCH(tblAttendance[[#This Row],[StudentID]],tblStudents[StudentID],0)),"Unknown")</f>
        <v>Priya Kapoor</v>
      </c>
      <c r="C214" s="80" t="str">
        <f>IFERROR(INDEX(tblStudents[Branch],MATCH(tblAttendance[[#This Row],[StudentID]],tblStudents[StudentID],0)),"Unknown")</f>
        <v>ME</v>
      </c>
      <c r="D214" s="80">
        <f>IFERROR(INDEX(tblStudents[Semester],MATCH(tblAttendance[[#This Row],[StudentID]],tblStudents[StudentID],0)),"Unknown")</f>
        <v>8</v>
      </c>
      <c r="E214" s="80">
        <f>IFERROR(INDEX(tblStudents[Year],MATCH(tblAttendance[[#This Row],[StudentID]],tblStudents[StudentID],0)),"Unknown")</f>
        <v>2026</v>
      </c>
      <c r="F214" s="80" t="n">
        <v>189</v>
      </c>
      <c r="G214" s="80" t="n">
        <v>148</v>
      </c>
      <c r="H214" s="83">
        <f>IFERROR(tblAttendance[[#This Row],[Classes Attended]]/tblAttendance[[#This Row],[Classes Held]],0)</f>
        <v>0.783068783068783</v>
      </c>
      <c r="I21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14" s="80">
        <f>IFERROR(INDEX(tblStudents[Total Marks],MATCH(tblAttendance[[#This Row],[StudentID]],tblStudents[StudentID],0)),"Unknown")</f>
        <v>69</v>
      </c>
      <c r="K214" s="82">
        <f>IF(COUNTIFS(tblAttendance[[#This Row],[Branch]],cAt_B,tblAttendance[[#This Row],[Semester]],cAt_S,tblAttendance[[#This Row],[Year]],cAt_Y)=1,tblAttendance[[#This Row],[Attendance %]]+ROW()/1000000000,"")</f>
        <v>0.783068997068783</v>
      </c>
    </row>
    <row r="215">
      <c r="A215" s="79" t="inlineStr">
        <is>
          <t>STU1211</t>
        </is>
      </c>
      <c r="B215" s="79" t="str">
        <f>IFERROR(INDEX(tblStudents[Student Name],MATCH(tblAttendance[[#This Row],[StudentID]],tblStudents[StudentID],0)),"Unknown")</f>
        <v>Muskan Das</v>
      </c>
      <c r="C215" s="80" t="str">
        <f>IFERROR(INDEX(tblStudents[Branch],MATCH(tblAttendance[[#This Row],[StudentID]],tblStudents[StudentID],0)),"Unknown")</f>
        <v>ME</v>
      </c>
      <c r="D215" s="80">
        <f>IFERROR(INDEX(tblStudents[Semester],MATCH(tblAttendance[[#This Row],[StudentID]],tblStudents[StudentID],0)),"Unknown")</f>
        <v>1</v>
      </c>
      <c r="E215" s="80">
        <f>IFERROR(INDEX(tblStudents[Year],MATCH(tblAttendance[[#This Row],[StudentID]],tblStudents[StudentID],0)),"Unknown")</f>
        <v>2023</v>
      </c>
      <c r="F215" s="80" t="n">
        <v>187</v>
      </c>
      <c r="G215" s="80" t="n">
        <v>143</v>
      </c>
      <c r="H215" s="83">
        <f>IFERROR(tblAttendance[[#This Row],[Classes Attended]]/tblAttendance[[#This Row],[Classes Held]],0)</f>
        <v>0.764705882352941</v>
      </c>
      <c r="I215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15" s="80">
        <f>IFERROR(INDEX(tblStudents[Total Marks],MATCH(tblAttendance[[#This Row],[StudentID]],tblStudents[StudentID],0)),"Unknown")</f>
        <v>80</v>
      </c>
      <c r="K215" s="82">
        <f>IF(COUNTIFS(tblAttendance[[#This Row],[Branch]],cAt_B,tblAttendance[[#This Row],[Semester]],cAt_S,tblAttendance[[#This Row],[Year]],cAt_Y)=1,tblAttendance[[#This Row],[Attendance %]]+ROW()/1000000000,"")</f>
        <v>0.764706097352941</v>
      </c>
    </row>
    <row r="216">
      <c r="A216" s="79" t="inlineStr">
        <is>
          <t>STU1212</t>
        </is>
      </c>
      <c r="B216" s="79" t="str">
        <f>IFERROR(INDEX(tblStudents[Student Name],MATCH(tblAttendance[[#This Row],[StudentID]],tblStudents[StudentID],0)),"Unknown")</f>
        <v>Naveen Saxena</v>
      </c>
      <c r="C216" s="80" t="str">
        <f>IFERROR(INDEX(tblStudents[Branch],MATCH(tblAttendance[[#This Row],[StudentID]],tblStudents[StudentID],0)),"Unknown")</f>
        <v>CSE</v>
      </c>
      <c r="D216" s="80">
        <f>IFERROR(INDEX(tblStudents[Semester],MATCH(tblAttendance[[#This Row],[StudentID]],tblStudents[StudentID],0)),"Unknown")</f>
        <v>2</v>
      </c>
      <c r="E216" s="80">
        <f>IFERROR(INDEX(tblStudents[Year],MATCH(tblAttendance[[#This Row],[StudentID]],tblStudents[StudentID],0)),"Unknown")</f>
        <v>2026</v>
      </c>
      <c r="F216" s="80" t="n">
        <v>169</v>
      </c>
      <c r="G216" s="80" t="n">
        <v>133</v>
      </c>
      <c r="H216" s="83">
        <f>IFERROR(tblAttendance[[#This Row],[Classes Attended]]/tblAttendance[[#This Row],[Classes Held]],0)</f>
        <v>0.78698224852071</v>
      </c>
      <c r="I216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16" s="80">
        <f>IFERROR(INDEX(tblStudents[Total Marks],MATCH(tblAttendance[[#This Row],[StudentID]],tblStudents[StudentID],0)),"Unknown")</f>
        <v>63</v>
      </c>
      <c r="K216" s="82">
        <f>IF(COUNTIFS(tblAttendance[[#This Row],[Branch]],cAt_B,tblAttendance[[#This Row],[Semester]],cAt_S,tblAttendance[[#This Row],[Year]],cAt_Y)=1,tblAttendance[[#This Row],[Attendance %]]+ROW()/1000000000,"")</f>
        <v>0.78698246452071</v>
      </c>
    </row>
    <row r="217">
      <c r="A217" s="79" t="inlineStr">
        <is>
          <t>STU1213</t>
        </is>
      </c>
      <c r="B217" s="79" t="str">
        <f>IFERROR(INDEX(tblStudents[Student Name],MATCH(tblAttendance[[#This Row],[StudentID]],tblStudents[StudentID],0)),"Unknown")</f>
        <v>Divya Kapoor</v>
      </c>
      <c r="C217" s="80" t="str">
        <f>IFERROR(INDEX(tblStudents[Branch],MATCH(tblAttendance[[#This Row],[StudentID]],tblStudents[StudentID],0)),"Unknown")</f>
        <v>IT</v>
      </c>
      <c r="D217" s="80">
        <f>IFERROR(INDEX(tblStudents[Semester],MATCH(tblAttendance[[#This Row],[StudentID]],tblStudents[StudentID],0)),"Unknown")</f>
        <v>2</v>
      </c>
      <c r="E217" s="80">
        <f>IFERROR(INDEX(tblStudents[Year],MATCH(tblAttendance[[#This Row],[StudentID]],tblStudents[StudentID],0)),"Unknown")</f>
        <v>2025</v>
      </c>
      <c r="F217" s="80" t="n">
        <v>169</v>
      </c>
      <c r="G217" s="80" t="n">
        <v>137</v>
      </c>
      <c r="H217" s="83">
        <f>IFERROR(tblAttendance[[#This Row],[Classes Attended]]/tblAttendance[[#This Row],[Classes Held]],0)</f>
        <v>0.810650887573965</v>
      </c>
      <c r="I217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17" s="80">
        <f>IFERROR(INDEX(tblStudents[Total Marks],MATCH(tblAttendance[[#This Row],[StudentID]],tblStudents[StudentID],0)),"Unknown")</f>
        <v>52</v>
      </c>
      <c r="K217" s="82">
        <f>IF(COUNTIFS(tblAttendance[[#This Row],[Branch]],cAt_B,tblAttendance[[#This Row],[Semester]],cAt_S,tblAttendance[[#This Row],[Year]],cAt_Y)=1,tblAttendance[[#This Row],[Attendance %]]+ROW()/1000000000,"")</f>
        <v>0.810651104573965</v>
      </c>
    </row>
    <row r="218">
      <c r="A218" s="79" t="inlineStr">
        <is>
          <t>STU1214</t>
        </is>
      </c>
      <c r="B218" s="79" t="str">
        <f>IFERROR(INDEX(tblStudents[Student Name],MATCH(tblAttendance[[#This Row],[StudentID]],tblStudents[StudentID],0)),"Unknown")</f>
        <v>Jhanvi Kumar</v>
      </c>
      <c r="C218" s="80" t="str">
        <f>IFERROR(INDEX(tblStudents[Branch],MATCH(tblAttendance[[#This Row],[StudentID]],tblStudents[StudentID],0)),"Unknown")</f>
        <v>ECE</v>
      </c>
      <c r="D218" s="80">
        <f>IFERROR(INDEX(tblStudents[Semester],MATCH(tblAttendance[[#This Row],[StudentID]],tblStudents[StudentID],0)),"Unknown")</f>
        <v>8</v>
      </c>
      <c r="E218" s="80">
        <f>IFERROR(INDEX(tblStudents[Year],MATCH(tblAttendance[[#This Row],[StudentID]],tblStudents[StudentID],0)),"Unknown")</f>
        <v>2024</v>
      </c>
      <c r="F218" s="80" t="n">
        <v>189</v>
      </c>
      <c r="G218" s="80" t="n">
        <v>187</v>
      </c>
      <c r="H218" s="83">
        <f>IFERROR(tblAttendance[[#This Row],[Classes Attended]]/tblAttendance[[#This Row],[Classes Held]],0)</f>
        <v>0.989417989417989</v>
      </c>
      <c r="I21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18" s="80">
        <f>IFERROR(INDEX(tblStudents[Total Marks],MATCH(tblAttendance[[#This Row],[StudentID]],tblStudents[StudentID],0)),"Unknown")</f>
        <v>71</v>
      </c>
      <c r="K218" s="82">
        <f>IF(COUNTIFS(tblAttendance[[#This Row],[Branch]],cAt_B,tblAttendance[[#This Row],[Semester]],cAt_S,tblAttendance[[#This Row],[Year]],cAt_Y)=1,tblAttendance[[#This Row],[Attendance %]]+ROW()/1000000000,"")</f>
        <v>0.98941820741799</v>
      </c>
    </row>
    <row r="219">
      <c r="A219" s="79" t="inlineStr">
        <is>
          <t>STU1215</t>
        </is>
      </c>
      <c r="B219" s="79" t="str">
        <f>IFERROR(INDEX(tblStudents[Student Name],MATCH(tblAttendance[[#This Row],[StudentID]],tblStudents[StudentID],0)),"Unknown")</f>
        <v>Khushi Pandey</v>
      </c>
      <c r="C219" s="80" t="str">
        <f>IFERROR(INDEX(tblStudents[Branch],MATCH(tblAttendance[[#This Row],[StudentID]],tblStudents[StudentID],0)),"Unknown")</f>
        <v>IT</v>
      </c>
      <c r="D219" s="80">
        <f>IFERROR(INDEX(tblStudents[Semester],MATCH(tblAttendance[[#This Row],[StudentID]],tblStudents[StudentID],0)),"Unknown")</f>
        <v>8</v>
      </c>
      <c r="E219" s="80">
        <f>IFERROR(INDEX(tblStudents[Year],MATCH(tblAttendance[[#This Row],[StudentID]],tblStudents[StudentID],0)),"Unknown")</f>
        <v>2026</v>
      </c>
      <c r="F219" s="80" t="n">
        <v>156</v>
      </c>
      <c r="G219" s="80" t="n">
        <v>146</v>
      </c>
      <c r="H219" s="83">
        <f>IFERROR(tblAttendance[[#This Row],[Classes Attended]]/tblAttendance[[#This Row],[Classes Held]],0)</f>
        <v>0.935897435897436</v>
      </c>
      <c r="I219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19" s="80">
        <f>IFERROR(INDEX(tblStudents[Total Marks],MATCH(tblAttendance[[#This Row],[StudentID]],tblStudents[StudentID],0)),"Unknown")</f>
        <v>72</v>
      </c>
      <c r="K219" s="82">
        <f>IF(COUNTIFS(tblAttendance[[#This Row],[Branch]],cAt_B,tblAttendance[[#This Row],[Semester]],cAt_S,tblAttendance[[#This Row],[Year]],cAt_Y)=1,tblAttendance[[#This Row],[Attendance %]]+ROW()/1000000000,"")</f>
        <v>0.935897654897436</v>
      </c>
    </row>
    <row r="220">
      <c r="A220" s="79" t="inlineStr">
        <is>
          <t>STU1216</t>
        </is>
      </c>
      <c r="B220" s="79" t="str">
        <f>IFERROR(INDEX(tblStudents[Student Name],MATCH(tblAttendance[[#This Row],[StudentID]],tblStudents[StudentID],0)),"Unknown")</f>
        <v>Ankit Rastogi</v>
      </c>
      <c r="C220" s="80" t="str">
        <f>IFERROR(INDEX(tblStudents[Branch],MATCH(tblAttendance[[#This Row],[StudentID]],tblStudents[StudentID],0)),"Unknown")</f>
        <v>IT</v>
      </c>
      <c r="D220" s="80">
        <f>IFERROR(INDEX(tblStudents[Semester],MATCH(tblAttendance[[#This Row],[StudentID]],tblStudents[StudentID],0)),"Unknown")</f>
        <v>7</v>
      </c>
      <c r="E220" s="80">
        <f>IFERROR(INDEX(tblStudents[Year],MATCH(tblAttendance[[#This Row],[StudentID]],tblStudents[StudentID],0)),"Unknown")</f>
        <v>2025</v>
      </c>
      <c r="F220" s="80" t="n">
        <v>187</v>
      </c>
      <c r="G220" s="80" t="n">
        <v>170</v>
      </c>
      <c r="H220" s="83">
        <f>IFERROR(tblAttendance[[#This Row],[Classes Attended]]/tblAttendance[[#This Row],[Classes Held]],0)</f>
        <v>0.909090909090909</v>
      </c>
      <c r="I22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20" s="80">
        <f>IFERROR(INDEX(tblStudents[Total Marks],MATCH(tblAttendance[[#This Row],[StudentID]],tblStudents[StudentID],0)),"Unknown")</f>
        <v>77</v>
      </c>
      <c r="K220" s="82">
        <f>IF(COUNTIFS(tblAttendance[[#This Row],[Branch]],cAt_B,tblAttendance[[#This Row],[Semester]],cAt_S,tblAttendance[[#This Row],[Year]],cAt_Y)=1,tblAttendance[[#This Row],[Attendance %]]+ROW()/1000000000,"")</f>
        <v>0.909091129090909</v>
      </c>
    </row>
    <row r="221">
      <c r="A221" s="79" t="inlineStr">
        <is>
          <t>STU1217</t>
        </is>
      </c>
      <c r="B221" s="79" t="str">
        <f>IFERROR(INDEX(tblStudents[Student Name],MATCH(tblAttendance[[#This Row],[StudentID]],tblStudents[StudentID],0)),"Unknown")</f>
        <v>Amit Malik</v>
      </c>
      <c r="C221" s="80" t="str">
        <f>IFERROR(INDEX(tblStudents[Branch],MATCH(tblAttendance[[#This Row],[StudentID]],tblStudents[StudentID],0)),"Unknown")</f>
        <v>IT</v>
      </c>
      <c r="D221" s="80">
        <f>IFERROR(INDEX(tblStudents[Semester],MATCH(tblAttendance[[#This Row],[StudentID]],tblStudents[StudentID],0)),"Unknown")</f>
        <v>4</v>
      </c>
      <c r="E221" s="80">
        <f>IFERROR(INDEX(tblStudents[Year],MATCH(tblAttendance[[#This Row],[StudentID]],tblStudents[StudentID],0)),"Unknown")</f>
        <v>2025</v>
      </c>
      <c r="F221" s="80" t="n">
        <v>166</v>
      </c>
      <c r="G221" s="80" t="n">
        <v>119</v>
      </c>
      <c r="H221" s="83">
        <f>IFERROR(tblAttendance[[#This Row],[Classes Attended]]/tblAttendance[[#This Row],[Classes Held]],0)</f>
        <v>0.716867469879518</v>
      </c>
      <c r="I221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21" s="80">
        <f>IFERROR(INDEX(tblStudents[Total Marks],MATCH(tblAttendance[[#This Row],[StudentID]],tblStudents[StudentID],0)),"Unknown")</f>
        <v>36</v>
      </c>
      <c r="K221" s="82">
        <f>IF(COUNTIFS(tblAttendance[[#This Row],[Branch]],cAt_B,tblAttendance[[#This Row],[Semester]],cAt_S,tblAttendance[[#This Row],[Year]],cAt_Y)=1,tblAttendance[[#This Row],[Attendance %]]+ROW()/1000000000,"")</f>
        <v>0.716867690879518</v>
      </c>
    </row>
    <row r="222">
      <c r="A222" s="79" t="inlineStr">
        <is>
          <t>STU1218</t>
        </is>
      </c>
      <c r="B222" s="79" t="str">
        <f>IFERROR(INDEX(tblStudents[Student Name],MATCH(tblAttendance[[#This Row],[StudentID]],tblStudents[StudentID],0)),"Unknown")</f>
        <v>Ankit Garg</v>
      </c>
      <c r="C222" s="80" t="str">
        <f>IFERROR(INDEX(tblStudents[Branch],MATCH(tblAttendance[[#This Row],[StudentID]],tblStudents[StudentID],0)),"Unknown")</f>
        <v>IT</v>
      </c>
      <c r="D222" s="80">
        <f>IFERROR(INDEX(tblStudents[Semester],MATCH(tblAttendance[[#This Row],[StudentID]],tblStudents[StudentID],0)),"Unknown")</f>
        <v>8</v>
      </c>
      <c r="E222" s="80">
        <f>IFERROR(INDEX(tblStudents[Year],MATCH(tblAttendance[[#This Row],[StudentID]],tblStudents[StudentID],0)),"Unknown")</f>
        <v>2025</v>
      </c>
      <c r="F222" s="80" t="n">
        <v>180</v>
      </c>
      <c r="G222" s="80" t="n">
        <v>147</v>
      </c>
      <c r="H222" s="83">
        <f>IFERROR(tblAttendance[[#This Row],[Classes Attended]]/tblAttendance[[#This Row],[Classes Held]],0)</f>
        <v>0.816666666666667</v>
      </c>
      <c r="I22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22" s="80">
        <f>IFERROR(INDEX(tblStudents[Total Marks],MATCH(tblAttendance[[#This Row],[StudentID]],tblStudents[StudentID],0)),"Unknown")</f>
        <v>64</v>
      </c>
      <c r="K222" s="82">
        <f>IF(COUNTIFS(tblAttendance[[#This Row],[Branch]],cAt_B,tblAttendance[[#This Row],[Semester]],cAt_S,tblAttendance[[#This Row],[Year]],cAt_Y)=1,tblAttendance[[#This Row],[Attendance %]]+ROW()/1000000000,"")</f>
        <v>0.816666888666667</v>
      </c>
    </row>
    <row r="223">
      <c r="A223" s="79" t="inlineStr">
        <is>
          <t>STU1219</t>
        </is>
      </c>
      <c r="B223" s="79" t="str">
        <f>IFERROR(INDEX(tblStudents[Student Name],MATCH(tblAttendance[[#This Row],[StudentID]],tblStudents[StudentID],0)),"Unknown")</f>
        <v>Radhika Nair</v>
      </c>
      <c r="C223" s="80" t="str">
        <f>IFERROR(INDEX(tblStudents[Branch],MATCH(tblAttendance[[#This Row],[StudentID]],tblStudents[StudentID],0)),"Unknown")</f>
        <v>ECE</v>
      </c>
      <c r="D223" s="80">
        <f>IFERROR(INDEX(tblStudents[Semester],MATCH(tblAttendance[[#This Row],[StudentID]],tblStudents[StudentID],0)),"Unknown")</f>
        <v>8</v>
      </c>
      <c r="E223" s="80">
        <f>IFERROR(INDEX(tblStudents[Year],MATCH(tblAttendance[[#This Row],[StudentID]],tblStudents[StudentID],0)),"Unknown")</f>
        <v>2023</v>
      </c>
      <c r="F223" s="80" t="n">
        <v>187</v>
      </c>
      <c r="G223" s="80" t="n">
        <v>148</v>
      </c>
      <c r="H223" s="83">
        <f>IFERROR(tblAttendance[[#This Row],[Classes Attended]]/tblAttendance[[#This Row],[Classes Held]],0)</f>
        <v>0.79144385026738</v>
      </c>
      <c r="I223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23" s="80">
        <f>IFERROR(INDEX(tblStudents[Total Marks],MATCH(tblAttendance[[#This Row],[StudentID]],tblStudents[StudentID],0)),"Unknown")</f>
        <v>80</v>
      </c>
      <c r="K223" s="82">
        <f>IF(COUNTIFS(tblAttendance[[#This Row],[Branch]],cAt_B,tblAttendance[[#This Row],[Semester]],cAt_S,tblAttendance[[#This Row],[Year]],cAt_Y)=1,tblAttendance[[#This Row],[Attendance %]]+ROW()/1000000000,"")</f>
        <v>0.79144407326738</v>
      </c>
    </row>
    <row r="224">
      <c r="A224" s="79" t="inlineStr">
        <is>
          <t>STU1220</t>
        </is>
      </c>
      <c r="B224" s="79" t="str">
        <f>IFERROR(INDEX(tblStudents[Student Name],MATCH(tblAttendance[[#This Row],[StudentID]],tblStudents[StudentID],0)),"Unknown")</f>
        <v>Shreya Iyer</v>
      </c>
      <c r="C224" s="80" t="str">
        <f>IFERROR(INDEX(tblStudents[Branch],MATCH(tblAttendance[[#This Row],[StudentID]],tblStudents[StudentID],0)),"Unknown")</f>
        <v>ECE</v>
      </c>
      <c r="D224" s="80">
        <f>IFERROR(INDEX(tblStudents[Semester],MATCH(tblAttendance[[#This Row],[StudentID]],tblStudents[StudentID],0)),"Unknown")</f>
        <v>2</v>
      </c>
      <c r="E224" s="80">
        <f>IFERROR(INDEX(tblStudents[Year],MATCH(tblAttendance[[#This Row],[StudentID]],tblStudents[StudentID],0)),"Unknown")</f>
        <v>2023</v>
      </c>
      <c r="F224" s="80" t="n">
        <v>158</v>
      </c>
      <c r="G224" s="80" t="n">
        <v>123</v>
      </c>
      <c r="H224" s="83">
        <f>IFERROR(tblAttendance[[#This Row],[Classes Attended]]/tblAttendance[[#This Row],[Classes Held]],0)</f>
        <v>0.778481012658228</v>
      </c>
      <c r="I22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24" s="80">
        <f>IFERROR(INDEX(tblStudents[Total Marks],MATCH(tblAttendance[[#This Row],[StudentID]],tblStudents[StudentID],0)),"Unknown")</f>
        <v>61</v>
      </c>
      <c r="K224" s="82">
        <f>IF(COUNTIFS(tblAttendance[[#This Row],[Branch]],cAt_B,tblAttendance[[#This Row],[Semester]],cAt_S,tblAttendance[[#This Row],[Year]],cAt_Y)=1,tblAttendance[[#This Row],[Attendance %]]+ROW()/1000000000,"")</f>
        <v>0.778481236658228</v>
      </c>
    </row>
    <row r="225">
      <c r="A225" s="79" t="inlineStr">
        <is>
          <t>STU1221</t>
        </is>
      </c>
      <c r="B225" s="79" t="str">
        <f>IFERROR(INDEX(tblStudents[Student Name],MATCH(tblAttendance[[#This Row],[StudentID]],tblStudents[StudentID],0)),"Unknown")</f>
        <v>Anjali Iyer</v>
      </c>
      <c r="C225" s="80" t="str">
        <f>IFERROR(INDEX(tblStudents[Branch],MATCH(tblAttendance[[#This Row],[StudentID]],tblStudents[StudentID],0)),"Unknown")</f>
        <v>IT</v>
      </c>
      <c r="D225" s="80">
        <f>IFERROR(INDEX(tblStudents[Semester],MATCH(tblAttendance[[#This Row],[StudentID]],tblStudents[StudentID],0)),"Unknown")</f>
        <v>6</v>
      </c>
      <c r="E225" s="80">
        <f>IFERROR(INDEX(tblStudents[Year],MATCH(tblAttendance[[#This Row],[StudentID]],tblStudents[StudentID],0)),"Unknown")</f>
        <v>2024</v>
      </c>
      <c r="F225" s="80" t="n">
        <v>151</v>
      </c>
      <c r="G225" s="80" t="n">
        <v>140</v>
      </c>
      <c r="H225" s="83">
        <f>IFERROR(tblAttendance[[#This Row],[Classes Attended]]/tblAttendance[[#This Row],[Classes Held]],0)</f>
        <v>0.927152317880795</v>
      </c>
      <c r="I225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25" s="80">
        <f>IFERROR(INDEX(tblStudents[Total Marks],MATCH(tblAttendance[[#This Row],[StudentID]],tblStudents[StudentID],0)),"Unknown")</f>
        <v>57</v>
      </c>
      <c r="K225" s="82">
        <f>IF(COUNTIFS(tblAttendance[[#This Row],[Branch]],cAt_B,tblAttendance[[#This Row],[Semester]],cAt_S,tblAttendance[[#This Row],[Year]],cAt_Y)=1,tblAttendance[[#This Row],[Attendance %]]+ROW()/1000000000,"")</f>
        <v>0.927152542880795</v>
      </c>
    </row>
    <row r="226">
      <c r="A226" s="79" t="inlineStr">
        <is>
          <t>STU1222</t>
        </is>
      </c>
      <c r="B226" s="79" t="str">
        <f>IFERROR(INDEX(tblStudents[Student Name],MATCH(tblAttendance[[#This Row],[StudentID]],tblStudents[StudentID],0)),"Unknown")</f>
        <v>Arjun Bhatt</v>
      </c>
      <c r="C226" s="80" t="str">
        <f>IFERROR(INDEX(tblStudents[Branch],MATCH(tblAttendance[[#This Row],[StudentID]],tblStudents[StudentID],0)),"Unknown")</f>
        <v>CSE</v>
      </c>
      <c r="D226" s="80">
        <f>IFERROR(INDEX(tblStudents[Semester],MATCH(tblAttendance[[#This Row],[StudentID]],tblStudents[StudentID],0)),"Unknown")</f>
        <v>7</v>
      </c>
      <c r="E226" s="80">
        <f>IFERROR(INDEX(tblStudents[Year],MATCH(tblAttendance[[#This Row],[StudentID]],tblStudents[StudentID],0)),"Unknown")</f>
        <v>2025</v>
      </c>
      <c r="F226" s="80" t="n">
        <v>168</v>
      </c>
      <c r="G226" s="80" t="n">
        <v>129</v>
      </c>
      <c r="H226" s="83">
        <f>IFERROR(tblAttendance[[#This Row],[Classes Attended]]/tblAttendance[[#This Row],[Classes Held]],0)</f>
        <v>0.767857142857143</v>
      </c>
      <c r="I226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26" s="80">
        <f>IFERROR(INDEX(tblStudents[Total Marks],MATCH(tblAttendance[[#This Row],[StudentID]],tblStudents[StudentID],0)),"Unknown")</f>
        <v>44</v>
      </c>
      <c r="K226" s="82">
        <f>IF(COUNTIFS(tblAttendance[[#This Row],[Branch]],cAt_B,tblAttendance[[#This Row],[Semester]],cAt_S,tblAttendance[[#This Row],[Year]],cAt_Y)=1,tblAttendance[[#This Row],[Attendance %]]+ROW()/1000000000,"")</f>
        <v>0.767857368857143</v>
      </c>
    </row>
    <row r="227">
      <c r="A227" s="79" t="inlineStr">
        <is>
          <t>STU1223</t>
        </is>
      </c>
      <c r="B227" s="79" t="str">
        <f>IFERROR(INDEX(tblStudents[Student Name],MATCH(tblAttendance[[#This Row],[StudentID]],tblStudents[StudentID],0)),"Unknown")</f>
        <v>Kartik Rastogi</v>
      </c>
      <c r="C227" s="80" t="str">
        <f>IFERROR(INDEX(tblStudents[Branch],MATCH(tblAttendance[[#This Row],[StudentID]],tblStudents[StudentID],0)),"Unknown")</f>
        <v>CSE</v>
      </c>
      <c r="D227" s="80">
        <f>IFERROR(INDEX(tblStudents[Semester],MATCH(tblAttendance[[#This Row],[StudentID]],tblStudents[StudentID],0)),"Unknown")</f>
        <v>1</v>
      </c>
      <c r="E227" s="80">
        <f>IFERROR(INDEX(tblStudents[Year],MATCH(tblAttendance[[#This Row],[StudentID]],tblStudents[StudentID],0)),"Unknown")</f>
        <v>2026</v>
      </c>
      <c r="F227" s="80" t="n">
        <v>183</v>
      </c>
      <c r="G227" s="80" t="n">
        <v>167</v>
      </c>
      <c r="H227" s="83">
        <f>IFERROR(tblAttendance[[#This Row],[Classes Attended]]/tblAttendance[[#This Row],[Classes Held]],0)</f>
        <v>0.912568306010929</v>
      </c>
      <c r="I227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27" s="80">
        <f>IFERROR(INDEX(tblStudents[Total Marks],MATCH(tblAttendance[[#This Row],[StudentID]],tblStudents[StudentID],0)),"Unknown")</f>
        <v>92</v>
      </c>
      <c r="K227" s="82">
        <f>IF(COUNTIFS(tblAttendance[[#This Row],[Branch]],cAt_B,tblAttendance[[#This Row],[Semester]],cAt_S,tblAttendance[[#This Row],[Year]],cAt_Y)=1,tblAttendance[[#This Row],[Attendance %]]+ROW()/1000000000,"")</f>
        <v>0.912568533010929</v>
      </c>
    </row>
    <row r="228">
      <c r="A228" s="79" t="inlineStr">
        <is>
          <t>STU1224</t>
        </is>
      </c>
      <c r="B228" s="79" t="str">
        <f>IFERROR(INDEX(tblStudents[Student Name],MATCH(tblAttendance[[#This Row],[StudentID]],tblStudents[StudentID],0)),"Unknown")</f>
        <v>Vikram Srivastava</v>
      </c>
      <c r="C228" s="80" t="str">
        <f>IFERROR(INDEX(tblStudents[Branch],MATCH(tblAttendance[[#This Row],[StudentID]],tblStudents[StudentID],0)),"Unknown")</f>
        <v>IT</v>
      </c>
      <c r="D228" s="80">
        <f>IFERROR(INDEX(tblStudents[Semester],MATCH(tblAttendance[[#This Row],[StudentID]],tblStudents[StudentID],0)),"Unknown")</f>
        <v>4</v>
      </c>
      <c r="E228" s="80">
        <f>IFERROR(INDEX(tblStudents[Year],MATCH(tblAttendance[[#This Row],[StudentID]],tblStudents[StudentID],0)),"Unknown")</f>
        <v>2023</v>
      </c>
      <c r="F228" s="80" t="n">
        <v>151</v>
      </c>
      <c r="G228" s="80" t="n">
        <v>119</v>
      </c>
      <c r="H228" s="83">
        <f>IFERROR(tblAttendance[[#This Row],[Classes Attended]]/tblAttendance[[#This Row],[Classes Held]],0)</f>
        <v>0.788079470198676</v>
      </c>
      <c r="I228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28" s="80">
        <f>IFERROR(INDEX(tblStudents[Total Marks],MATCH(tblAttendance[[#This Row],[StudentID]],tblStudents[StudentID],0)),"Unknown")</f>
        <v>80</v>
      </c>
      <c r="K228" s="82">
        <f>IF(COUNTIFS(tblAttendance[[#This Row],[Branch]],cAt_B,tblAttendance[[#This Row],[Semester]],cAt_S,tblAttendance[[#This Row],[Year]],cAt_Y)=1,tblAttendance[[#This Row],[Attendance %]]+ROW()/1000000000,"")</f>
        <v>0.788079698198676</v>
      </c>
    </row>
    <row r="229">
      <c r="A229" s="79" t="inlineStr">
        <is>
          <t>STU1225</t>
        </is>
      </c>
      <c r="B229" s="79" t="str">
        <f>IFERROR(INDEX(tblStudents[Student Name],MATCH(tblAttendance[[#This Row],[StudentID]],tblStudents[StudentID],0)),"Unknown")</f>
        <v>Tanvi Garg</v>
      </c>
      <c r="C229" s="80" t="str">
        <f>IFERROR(INDEX(tblStudents[Branch],MATCH(tblAttendance[[#This Row],[StudentID]],tblStudents[StudentID],0)),"Unknown")</f>
        <v>CE</v>
      </c>
      <c r="D229" s="80">
        <f>IFERROR(INDEX(tblStudents[Semester],MATCH(tblAttendance[[#This Row],[StudentID]],tblStudents[StudentID],0)),"Unknown")</f>
        <v>3</v>
      </c>
      <c r="E229" s="80">
        <f>IFERROR(INDEX(tblStudents[Year],MATCH(tblAttendance[[#This Row],[StudentID]],tblStudents[StudentID],0)),"Unknown")</f>
        <v>2024</v>
      </c>
      <c r="F229" s="80" t="n">
        <v>171</v>
      </c>
      <c r="G229" s="80" t="n">
        <v>133</v>
      </c>
      <c r="H229" s="83">
        <f>IFERROR(tblAttendance[[#This Row],[Classes Attended]]/tblAttendance[[#This Row],[Classes Held]],0)</f>
        <v>0.777777777777778</v>
      </c>
      <c r="I229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29" s="80">
        <f>IFERROR(INDEX(tblStudents[Total Marks],MATCH(tblAttendance[[#This Row],[StudentID]],tblStudents[StudentID],0)),"Unknown")</f>
        <v>75</v>
      </c>
      <c r="K229" s="82">
        <f>IF(COUNTIFS(tblAttendance[[#This Row],[Branch]],cAt_B,tblAttendance[[#This Row],[Semester]],cAt_S,tblAttendance[[#This Row],[Year]],cAt_Y)=1,tblAttendance[[#This Row],[Attendance %]]+ROW()/1000000000,"")</f>
        <v>0.777778006777778</v>
      </c>
    </row>
    <row r="230">
      <c r="A230" s="79" t="inlineStr">
        <is>
          <t>STU1226</t>
        </is>
      </c>
      <c r="B230" s="79" t="str">
        <f>IFERROR(INDEX(tblStudents[Student Name],MATCH(tblAttendance[[#This Row],[StudentID]],tblStudents[StudentID],0)),"Unknown")</f>
        <v>Rajat Tiwari</v>
      </c>
      <c r="C230" s="80" t="str">
        <f>IFERROR(INDEX(tblStudents[Branch],MATCH(tblAttendance[[#This Row],[StudentID]],tblStudents[StudentID],0)),"Unknown")</f>
        <v>IT</v>
      </c>
      <c r="D230" s="80">
        <f>IFERROR(INDEX(tblStudents[Semester],MATCH(tblAttendance[[#This Row],[StudentID]],tblStudents[StudentID],0)),"Unknown")</f>
        <v>3</v>
      </c>
      <c r="E230" s="80">
        <f>IFERROR(INDEX(tblStudents[Year],MATCH(tblAttendance[[#This Row],[StudentID]],tblStudents[StudentID],0)),"Unknown")</f>
        <v>2024</v>
      </c>
      <c r="F230" s="80" t="n">
        <v>152</v>
      </c>
      <c r="G230" s="80" t="n">
        <v>150</v>
      </c>
      <c r="H230" s="83">
        <f>IFERROR(tblAttendance[[#This Row],[Classes Attended]]/tblAttendance[[#This Row],[Classes Held]],0)</f>
        <v>0.986842105263158</v>
      </c>
      <c r="I23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30" s="80">
        <f>IFERROR(INDEX(tblStudents[Total Marks],MATCH(tblAttendance[[#This Row],[StudentID]],tblStudents[StudentID],0)),"Unknown")</f>
        <v>86</v>
      </c>
      <c r="K230" s="82">
        <f>IF(COUNTIFS(tblAttendance[[#This Row],[Branch]],cAt_B,tblAttendance[[#This Row],[Semester]],cAt_S,tblAttendance[[#This Row],[Year]],cAt_Y)=1,tblAttendance[[#This Row],[Attendance %]]+ROW()/1000000000,"")</f>
        <v>0.986842335263158</v>
      </c>
    </row>
    <row r="231">
      <c r="A231" s="79" t="inlineStr">
        <is>
          <t>STU1227</t>
        </is>
      </c>
      <c r="B231" s="79" t="str">
        <f>IFERROR(INDEX(tblStudents[Student Name],MATCH(tblAttendance[[#This Row],[StudentID]],tblStudents[StudentID],0)),"Unknown")</f>
        <v>Shruti Siddiqui</v>
      </c>
      <c r="C231" s="80" t="str">
        <f>IFERROR(INDEX(tblStudents[Branch],MATCH(tblAttendance[[#This Row],[StudentID]],tblStudents[StudentID],0)),"Unknown")</f>
        <v>IT</v>
      </c>
      <c r="D231" s="80">
        <f>IFERROR(INDEX(tblStudents[Semester],MATCH(tblAttendance[[#This Row],[StudentID]],tblStudents[StudentID],0)),"Unknown")</f>
        <v>5</v>
      </c>
      <c r="E231" s="80">
        <f>IFERROR(INDEX(tblStudents[Year],MATCH(tblAttendance[[#This Row],[StudentID]],tblStudents[StudentID],0)),"Unknown")</f>
        <v>2025</v>
      </c>
      <c r="F231" s="80" t="n">
        <v>187</v>
      </c>
      <c r="G231" s="80" t="n">
        <v>152</v>
      </c>
      <c r="H231" s="83">
        <f>IFERROR(tblAttendance[[#This Row],[Classes Attended]]/tblAttendance[[#This Row],[Classes Held]],0)</f>
        <v>0.812834224598931</v>
      </c>
      <c r="I231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31" s="80">
        <f>IFERROR(INDEX(tblStudents[Total Marks],MATCH(tblAttendance[[#This Row],[StudentID]],tblStudents[StudentID],0)),"Unknown")</f>
        <v>56</v>
      </c>
      <c r="K231" s="82">
        <f>IF(COUNTIFS(tblAttendance[[#This Row],[Branch]],cAt_B,tblAttendance[[#This Row],[Semester]],cAt_S,tblAttendance[[#This Row],[Year]],cAt_Y)=1,tblAttendance[[#This Row],[Attendance %]]+ROW()/1000000000,"")</f>
        <v>0.812834455598931</v>
      </c>
    </row>
    <row r="232">
      <c r="A232" s="79" t="inlineStr">
        <is>
          <t>STU1228</t>
        </is>
      </c>
      <c r="B232" s="79" t="str">
        <f>IFERROR(INDEX(tblStudents[Student Name],MATCH(tblAttendance[[#This Row],[StudentID]],tblStudents[StudentID],0)),"Unknown")</f>
        <v>Khushi Garg</v>
      </c>
      <c r="C232" s="80" t="str">
        <f>IFERROR(INDEX(tblStudents[Branch],MATCH(tblAttendance[[#This Row],[StudentID]],tblStudents[StudentID],0)),"Unknown")</f>
        <v>ME</v>
      </c>
      <c r="D232" s="80">
        <f>IFERROR(INDEX(tblStudents[Semester],MATCH(tblAttendance[[#This Row],[StudentID]],tblStudents[StudentID],0)),"Unknown")</f>
        <v>3</v>
      </c>
      <c r="E232" s="80">
        <f>IFERROR(INDEX(tblStudents[Year],MATCH(tblAttendance[[#This Row],[StudentID]],tblStudents[StudentID],0)),"Unknown")</f>
        <v>2023</v>
      </c>
      <c r="F232" s="80" t="n">
        <v>174</v>
      </c>
      <c r="G232" s="80" t="n">
        <v>153</v>
      </c>
      <c r="H232" s="83">
        <f>IFERROR(tblAttendance[[#This Row],[Classes Attended]]/tblAttendance[[#This Row],[Classes Held]],0)</f>
        <v>0.879310344827586</v>
      </c>
      <c r="I23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32" s="80">
        <f>IFERROR(INDEX(tblStudents[Total Marks],MATCH(tblAttendance[[#This Row],[StudentID]],tblStudents[StudentID],0)),"Unknown")</f>
        <v>76</v>
      </c>
      <c r="K232" s="82">
        <f>IF(COUNTIFS(tblAttendance[[#This Row],[Branch]],cAt_B,tblAttendance[[#This Row],[Semester]],cAt_S,tblAttendance[[#This Row],[Year]],cAt_Y)=1,tblAttendance[[#This Row],[Attendance %]]+ROW()/1000000000,"")</f>
        <v>0.879310576827586</v>
      </c>
    </row>
    <row r="233">
      <c r="A233" s="79" t="inlineStr">
        <is>
          <t>STU1229</t>
        </is>
      </c>
      <c r="B233" s="79" t="str">
        <f>IFERROR(INDEX(tblStudents[Student Name],MATCH(tblAttendance[[#This Row],[StudentID]],tblStudents[StudentID],0)),"Unknown")</f>
        <v>Divya Sharma</v>
      </c>
      <c r="C233" s="80" t="str">
        <f>IFERROR(INDEX(tblStudents[Branch],MATCH(tblAttendance[[#This Row],[StudentID]],tblStudents[StudentID],0)),"Unknown")</f>
        <v>ME</v>
      </c>
      <c r="D233" s="80">
        <f>IFERROR(INDEX(tblStudents[Semester],MATCH(tblAttendance[[#This Row],[StudentID]],tblStudents[StudentID],0)),"Unknown")</f>
        <v>8</v>
      </c>
      <c r="E233" s="80">
        <f>IFERROR(INDEX(tblStudents[Year],MATCH(tblAttendance[[#This Row],[StudentID]],tblStudents[StudentID],0)),"Unknown")</f>
        <v>2025</v>
      </c>
      <c r="F233" s="80" t="n">
        <v>165</v>
      </c>
      <c r="G233" s="80" t="n">
        <v>144</v>
      </c>
      <c r="H233" s="83">
        <f>IFERROR(tblAttendance[[#This Row],[Classes Attended]]/tblAttendance[[#This Row],[Classes Held]],0)</f>
        <v>0.872727272727273</v>
      </c>
      <c r="I233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33" s="80">
        <f>IFERROR(INDEX(tblStudents[Total Marks],MATCH(tblAttendance[[#This Row],[StudentID]],tblStudents[StudentID],0)),"Unknown")</f>
        <v>81</v>
      </c>
      <c r="K233" s="82">
        <f>IF(COUNTIFS(tblAttendance[[#This Row],[Branch]],cAt_B,tblAttendance[[#This Row],[Semester]],cAt_S,tblAttendance[[#This Row],[Year]],cAt_Y)=1,tblAttendance[[#This Row],[Attendance %]]+ROW()/1000000000,"")</f>
        <v>0.872727505727273</v>
      </c>
    </row>
    <row r="234">
      <c r="A234" s="79" t="inlineStr">
        <is>
          <t>STU1230</t>
        </is>
      </c>
      <c r="B234" s="79" t="str">
        <f>IFERROR(INDEX(tblStudents[Student Name],MATCH(tblAttendance[[#This Row],[StudentID]],tblStudents[StudentID],0)),"Unknown")</f>
        <v>Neha Kapoor</v>
      </c>
      <c r="C234" s="80" t="str">
        <f>IFERROR(INDEX(tblStudents[Branch],MATCH(tblAttendance[[#This Row],[StudentID]],tblStudents[StudentID],0)),"Unknown")</f>
        <v>CE</v>
      </c>
      <c r="D234" s="80">
        <f>IFERROR(INDEX(tblStudents[Semester],MATCH(tblAttendance[[#This Row],[StudentID]],tblStudents[StudentID],0)),"Unknown")</f>
        <v>2</v>
      </c>
      <c r="E234" s="80">
        <f>IFERROR(INDEX(tblStudents[Year],MATCH(tblAttendance[[#This Row],[StudentID]],tblStudents[StudentID],0)),"Unknown")</f>
        <v>2024</v>
      </c>
      <c r="F234" s="80" t="n">
        <v>168</v>
      </c>
      <c r="G234" s="80" t="n">
        <v>133</v>
      </c>
      <c r="H234" s="83">
        <f>IFERROR(tblAttendance[[#This Row],[Classes Attended]]/tblAttendance[[#This Row],[Classes Held]],0)</f>
        <v>0.791666666666667</v>
      </c>
      <c r="I234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34" s="80">
        <f>IFERROR(INDEX(tblStudents[Total Marks],MATCH(tblAttendance[[#This Row],[StudentID]],tblStudents[StudentID],0)),"Unknown")</f>
        <v>53</v>
      </c>
      <c r="K234" s="82">
        <f>IF(COUNTIFS(tblAttendance[[#This Row],[Branch]],cAt_B,tblAttendance[[#This Row],[Semester]],cAt_S,tblAttendance[[#This Row],[Year]],cAt_Y)=1,tblAttendance[[#This Row],[Attendance %]]+ROW()/1000000000,"")</f>
        <v>0.791666900666667</v>
      </c>
    </row>
    <row r="235">
      <c r="A235" s="79" t="inlineStr">
        <is>
          <t>STU1231</t>
        </is>
      </c>
      <c r="B235" s="79" t="str">
        <f>IFERROR(INDEX(tblStudents[Student Name],MATCH(tblAttendance[[#This Row],[StudentID]],tblStudents[StudentID],0)),"Unknown")</f>
        <v>Ishaan Joshi</v>
      </c>
      <c r="C235" s="80" t="str">
        <f>IFERROR(INDEX(tblStudents[Branch],MATCH(tblAttendance[[#This Row],[StudentID]],tblStudents[StudentID],0)),"Unknown")</f>
        <v>CSE</v>
      </c>
      <c r="D235" s="80">
        <f>IFERROR(INDEX(tblStudents[Semester],MATCH(tblAttendance[[#This Row],[StudentID]],tblStudents[StudentID],0)),"Unknown")</f>
        <v>3</v>
      </c>
      <c r="E235" s="80">
        <f>IFERROR(INDEX(tblStudents[Year],MATCH(tblAttendance[[#This Row],[StudentID]],tblStudents[StudentID],0)),"Unknown")</f>
        <v>2025</v>
      </c>
      <c r="F235" s="80" t="n">
        <v>150</v>
      </c>
      <c r="G235" s="80" t="n">
        <v>105</v>
      </c>
      <c r="H235" s="83">
        <f>IFERROR(tblAttendance[[#This Row],[Classes Attended]]/tblAttendance[[#This Row],[Classes Held]],0)</f>
        <v>0.7</v>
      </c>
      <c r="I235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35" s="80">
        <f>IFERROR(INDEX(tblStudents[Total Marks],MATCH(tblAttendance[[#This Row],[StudentID]],tblStudents[StudentID],0)),"Unknown")</f>
        <v>47</v>
      </c>
      <c r="K235" s="82">
        <f>IF(COUNTIFS(tblAttendance[[#This Row],[Branch]],cAt_B,tblAttendance[[#This Row],[Semester]],cAt_S,tblAttendance[[#This Row],[Year]],cAt_Y)=1,tblAttendance[[#This Row],[Attendance %]]+ROW()/1000000000,"")</f>
        <v>0.700000235</v>
      </c>
    </row>
    <row r="236">
      <c r="A236" s="79" t="inlineStr">
        <is>
          <t>STU1232</t>
        </is>
      </c>
      <c r="B236" s="79" t="str">
        <f>IFERROR(INDEX(tblStudents[Student Name],MATCH(tblAttendance[[#This Row],[StudentID]],tblStudents[StudentID],0)),"Unknown")</f>
        <v>Kartik Sharma</v>
      </c>
      <c r="C236" s="80" t="str">
        <f>IFERROR(INDEX(tblStudents[Branch],MATCH(tblAttendance[[#This Row],[StudentID]],tblStudents[StudentID],0)),"Unknown")</f>
        <v>ME</v>
      </c>
      <c r="D236" s="80">
        <f>IFERROR(INDEX(tblStudents[Semester],MATCH(tblAttendance[[#This Row],[StudentID]],tblStudents[StudentID],0)),"Unknown")</f>
        <v>7</v>
      </c>
      <c r="E236" s="80">
        <f>IFERROR(INDEX(tblStudents[Year],MATCH(tblAttendance[[#This Row],[StudentID]],tblStudents[StudentID],0)),"Unknown")</f>
        <v>2024</v>
      </c>
      <c r="F236" s="80" t="n">
        <v>162</v>
      </c>
      <c r="G236" s="80" t="n">
        <v>142</v>
      </c>
      <c r="H236" s="83">
        <f>IFERROR(tblAttendance[[#This Row],[Classes Attended]]/tblAttendance[[#This Row],[Classes Held]],0)</f>
        <v>0.876543209876543</v>
      </c>
      <c r="I236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36" s="80">
        <f>IFERROR(INDEX(tblStudents[Total Marks],MATCH(tblAttendance[[#This Row],[StudentID]],tblStudents[StudentID],0)),"Unknown")</f>
        <v>71</v>
      </c>
      <c r="K236" s="82">
        <f>IF(COUNTIFS(tblAttendance[[#This Row],[Branch]],cAt_B,tblAttendance[[#This Row],[Semester]],cAt_S,tblAttendance[[#This Row],[Year]],cAt_Y)=1,tblAttendance[[#This Row],[Attendance %]]+ROW()/1000000000,"")</f>
        <v>0.876543445876543</v>
      </c>
    </row>
    <row r="237">
      <c r="A237" s="79" t="inlineStr">
        <is>
          <t>STU1233</t>
        </is>
      </c>
      <c r="B237" s="79" t="str">
        <f>IFERROR(INDEX(tblStudents[Student Name],MATCH(tblAttendance[[#This Row],[StudentID]],tblStudents[StudentID],0)),"Unknown")</f>
        <v>Pallavi Jain</v>
      </c>
      <c r="C237" s="80" t="str">
        <f>IFERROR(INDEX(tblStudents[Branch],MATCH(tblAttendance[[#This Row],[StudentID]],tblStudents[StudentID],0)),"Unknown")</f>
        <v>ME</v>
      </c>
      <c r="D237" s="80">
        <f>IFERROR(INDEX(tblStudents[Semester],MATCH(tblAttendance[[#This Row],[StudentID]],tblStudents[StudentID],0)),"Unknown")</f>
        <v>4</v>
      </c>
      <c r="E237" s="80">
        <f>IFERROR(INDEX(tblStudents[Year],MATCH(tblAttendance[[#This Row],[StudentID]],tblStudents[StudentID],0)),"Unknown")</f>
        <v>2026</v>
      </c>
      <c r="F237" s="80" t="n">
        <v>174</v>
      </c>
      <c r="G237" s="80" t="n">
        <v>123</v>
      </c>
      <c r="H237" s="83">
        <f>IFERROR(tblAttendance[[#This Row],[Classes Attended]]/tblAttendance[[#This Row],[Classes Held]],0)</f>
        <v>0.706896551724138</v>
      </c>
      <c r="I237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37" s="80">
        <f>IFERROR(INDEX(tblStudents[Total Marks],MATCH(tblAttendance[[#This Row],[StudentID]],tblStudents[StudentID],0)),"Unknown")</f>
        <v>48</v>
      </c>
      <c r="K237" s="82">
        <f>IF(COUNTIFS(tblAttendance[[#This Row],[Branch]],cAt_B,tblAttendance[[#This Row],[Semester]],cAt_S,tblAttendance[[#This Row],[Year]],cAt_Y)=1,tblAttendance[[#This Row],[Attendance %]]+ROW()/1000000000,"")</f>
        <v>0.706896788724138</v>
      </c>
    </row>
    <row r="238">
      <c r="A238" s="79" t="inlineStr">
        <is>
          <t>STU1234</t>
        </is>
      </c>
      <c r="B238" s="79" t="str">
        <f>IFERROR(INDEX(tblStudents[Student Name],MATCH(tblAttendance[[#This Row],[StudentID]],tblStudents[StudentID],0)),"Unknown")</f>
        <v>Devansh Jain</v>
      </c>
      <c r="C238" s="80" t="str">
        <f>IFERROR(INDEX(tblStudents[Branch],MATCH(tblAttendance[[#This Row],[StudentID]],tblStudents[StudentID],0)),"Unknown")</f>
        <v>ECE</v>
      </c>
      <c r="D238" s="80">
        <f>IFERROR(INDEX(tblStudents[Semester],MATCH(tblAttendance[[#This Row],[StudentID]],tblStudents[StudentID],0)),"Unknown")</f>
        <v>5</v>
      </c>
      <c r="E238" s="80">
        <f>IFERROR(INDEX(tblStudents[Year],MATCH(tblAttendance[[#This Row],[StudentID]],tblStudents[StudentID],0)),"Unknown")</f>
        <v>2024</v>
      </c>
      <c r="F238" s="80" t="n">
        <v>168</v>
      </c>
      <c r="G238" s="80" t="n">
        <v>166</v>
      </c>
      <c r="H238" s="83">
        <f>IFERROR(tblAttendance[[#This Row],[Classes Attended]]/tblAttendance[[#This Row],[Classes Held]],0)</f>
        <v>0.988095238095238</v>
      </c>
      <c r="I238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38" s="80">
        <f>IFERROR(INDEX(tblStudents[Total Marks],MATCH(tblAttendance[[#This Row],[StudentID]],tblStudents[StudentID],0)),"Unknown")</f>
        <v>90</v>
      </c>
      <c r="K238" s="82">
        <f>IF(COUNTIFS(tblAttendance[[#This Row],[Branch]],cAt_B,tblAttendance[[#This Row],[Semester]],cAt_S,tblAttendance[[#This Row],[Year]],cAt_Y)=1,tblAttendance[[#This Row],[Attendance %]]+ROW()/1000000000,"")</f>
        <v>0.988095476095238</v>
      </c>
    </row>
    <row r="239">
      <c r="A239" s="79" t="inlineStr">
        <is>
          <t>STU1235</t>
        </is>
      </c>
      <c r="B239" s="79" t="str">
        <f>IFERROR(INDEX(tblStudents[Student Name],MATCH(tblAttendance[[#This Row],[StudentID]],tblStudents[StudentID],0)),"Unknown")</f>
        <v>Shreya Kumar</v>
      </c>
      <c r="C239" s="80" t="str">
        <f>IFERROR(INDEX(tblStudents[Branch],MATCH(tblAttendance[[#This Row],[StudentID]],tblStudents[StudentID],0)),"Unknown")</f>
        <v>ECE</v>
      </c>
      <c r="D239" s="80">
        <f>IFERROR(INDEX(tblStudents[Semester],MATCH(tblAttendance[[#This Row],[StudentID]],tblStudents[StudentID],0)),"Unknown")</f>
        <v>6</v>
      </c>
      <c r="E239" s="80">
        <f>IFERROR(INDEX(tblStudents[Year],MATCH(tblAttendance[[#This Row],[StudentID]],tblStudents[StudentID],0)),"Unknown")</f>
        <v>2026</v>
      </c>
      <c r="F239" s="80" t="n">
        <v>187</v>
      </c>
      <c r="G239" s="80" t="n">
        <v>145</v>
      </c>
      <c r="H239" s="83">
        <f>IFERROR(tblAttendance[[#This Row],[Classes Attended]]/tblAttendance[[#This Row],[Classes Held]],0)</f>
        <v>0.775401069518717</v>
      </c>
      <c r="I239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39" s="80">
        <f>IFERROR(INDEX(tblStudents[Total Marks],MATCH(tblAttendance[[#This Row],[StudentID]],tblStudents[StudentID],0)),"Unknown")</f>
        <v>46</v>
      </c>
      <c r="K239" s="82">
        <f>IF(COUNTIFS(tblAttendance[[#This Row],[Branch]],cAt_B,tblAttendance[[#This Row],[Semester]],cAt_S,tblAttendance[[#This Row],[Year]],cAt_Y)=1,tblAttendance[[#This Row],[Attendance %]]+ROW()/1000000000,"")</f>
        <v>0.775401308518717</v>
      </c>
    </row>
    <row r="240">
      <c r="A240" s="79" t="inlineStr">
        <is>
          <t>STU1236</t>
        </is>
      </c>
      <c r="B240" s="79" t="str">
        <f>IFERROR(INDEX(tblStudents[Student Name],MATCH(tblAttendance[[#This Row],[StudentID]],tblStudents[StudentID],0)),"Unknown")</f>
        <v>Diya Bhatt</v>
      </c>
      <c r="C240" s="80" t="str">
        <f>IFERROR(INDEX(tblStudents[Branch],MATCH(tblAttendance[[#This Row],[StudentID]],tblStudents[StudentID],0)),"Unknown")</f>
        <v>ME</v>
      </c>
      <c r="D240" s="80">
        <f>IFERROR(INDEX(tblStudents[Semester],MATCH(tblAttendance[[#This Row],[StudentID]],tblStudents[StudentID],0)),"Unknown")</f>
        <v>2</v>
      </c>
      <c r="E240" s="80">
        <f>IFERROR(INDEX(tblStudents[Year],MATCH(tblAttendance[[#This Row],[StudentID]],tblStudents[StudentID],0)),"Unknown")</f>
        <v>2025</v>
      </c>
      <c r="F240" s="80" t="n">
        <v>180</v>
      </c>
      <c r="G240" s="80" t="n">
        <v>165</v>
      </c>
      <c r="H240" s="83">
        <f>IFERROR(tblAttendance[[#This Row],[Classes Attended]]/tblAttendance[[#This Row],[Classes Held]],0)</f>
        <v>0.916666666666667</v>
      </c>
      <c r="I240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40" s="80">
        <f>IFERROR(INDEX(tblStudents[Total Marks],MATCH(tblAttendance[[#This Row],[StudentID]],tblStudents[StudentID],0)),"Unknown")</f>
        <v>84</v>
      </c>
      <c r="K240" s="82">
        <f>IF(COUNTIFS(tblAttendance[[#This Row],[Branch]],cAt_B,tblAttendance[[#This Row],[Semester]],cAt_S,tblAttendance[[#This Row],[Year]],cAt_Y)=1,tblAttendance[[#This Row],[Attendance %]]+ROW()/1000000000,"")</f>
        <v>0.916666906666667</v>
      </c>
    </row>
    <row r="241">
      <c r="A241" s="79" t="inlineStr">
        <is>
          <t>STU1237</t>
        </is>
      </c>
      <c r="B241" s="79" t="str">
        <f>IFERROR(INDEX(tblStudents[Student Name],MATCH(tblAttendance[[#This Row],[StudentID]],tblStudents[StudentID],0)),"Unknown")</f>
        <v>Vikram Dubey</v>
      </c>
      <c r="C241" s="80" t="str">
        <f>IFERROR(INDEX(tblStudents[Branch],MATCH(tblAttendance[[#This Row],[StudentID]],tblStudents[StudentID],0)),"Unknown")</f>
        <v>ME</v>
      </c>
      <c r="D241" s="80">
        <f>IFERROR(INDEX(tblStudents[Semester],MATCH(tblAttendance[[#This Row],[StudentID]],tblStudents[StudentID],0)),"Unknown")</f>
        <v>1</v>
      </c>
      <c r="E241" s="80">
        <f>IFERROR(INDEX(tblStudents[Year],MATCH(tblAttendance[[#This Row],[StudentID]],tblStudents[StudentID],0)),"Unknown")</f>
        <v>2026</v>
      </c>
      <c r="F241" s="80" t="n">
        <v>164</v>
      </c>
      <c r="G241" s="80" t="n">
        <v>127</v>
      </c>
      <c r="H241" s="83">
        <f>IFERROR(tblAttendance[[#This Row],[Classes Attended]]/tblAttendance[[#This Row],[Classes Held]],0)</f>
        <v>0.774390243902439</v>
      </c>
      <c r="I241" s="80" t="str">
        <f>IF(tblAttendance[[#This Row],[Attendance %]]&gt;=p_AttExc,"Excellent",IF(tblAttendance[[#This Row],[Attendance %]]&gt;=p_AttGood,"Good",IF(tblAttendance[[#This Row],[Attendance %]]&gt;=p_AttMin,"Satisfactory","Shortage")))</f>
        <v>Satisfactory</v>
      </c>
      <c r="J241" s="80">
        <f>IFERROR(INDEX(tblStudents[Total Marks],MATCH(tblAttendance[[#This Row],[StudentID]],tblStudents[StudentID],0)),"Unknown")</f>
        <v>51</v>
      </c>
      <c r="K241" s="82">
        <f>IF(COUNTIFS(tblAttendance[[#This Row],[Branch]],cAt_B,tblAttendance[[#This Row],[Semester]],cAt_S,tblAttendance[[#This Row],[Year]],cAt_Y)=1,tblAttendance[[#This Row],[Attendance %]]+ROW()/1000000000,"")</f>
        <v>0.774390484902439</v>
      </c>
    </row>
    <row r="242">
      <c r="A242" s="79" t="inlineStr">
        <is>
          <t>STU1238</t>
        </is>
      </c>
      <c r="B242" s="79" t="str">
        <f>IFERROR(INDEX(tblStudents[Student Name],MATCH(tblAttendance[[#This Row],[StudentID]],tblStudents[StudentID],0)),"Unknown")</f>
        <v>Vishal Singh</v>
      </c>
      <c r="C242" s="80" t="str">
        <f>IFERROR(INDEX(tblStudents[Branch],MATCH(tblAttendance[[#This Row],[StudentID]],tblStudents[StudentID],0)),"Unknown")</f>
        <v>CSE</v>
      </c>
      <c r="D242" s="80">
        <f>IFERROR(INDEX(tblStudents[Semester],MATCH(tblAttendance[[#This Row],[StudentID]],tblStudents[StudentID],0)),"Unknown")</f>
        <v>7</v>
      </c>
      <c r="E242" s="80">
        <f>IFERROR(INDEX(tblStudents[Year],MATCH(tblAttendance[[#This Row],[StudentID]],tblStudents[StudentID],0)),"Unknown")</f>
        <v>2026</v>
      </c>
      <c r="F242" s="80" t="n">
        <v>164</v>
      </c>
      <c r="G242" s="80" t="n">
        <v>141</v>
      </c>
      <c r="H242" s="83">
        <f>IFERROR(tblAttendance[[#This Row],[Classes Attended]]/tblAttendance[[#This Row],[Classes Held]],0)</f>
        <v>0.859756097560976</v>
      </c>
      <c r="I242" s="80" t="str">
        <f>IF(tblAttendance[[#This Row],[Attendance %]]&gt;=p_AttExc,"Excellent",IF(tblAttendance[[#This Row],[Attendance %]]&gt;=p_AttGood,"Good",IF(tblAttendance[[#This Row],[Attendance %]]&gt;=p_AttMin,"Satisfactory","Shortage")))</f>
        <v>Good</v>
      </c>
      <c r="J242" s="80">
        <f>IFERROR(INDEX(tblStudents[Total Marks],MATCH(tblAttendance[[#This Row],[StudentID]],tblStudents[StudentID],0)),"Unknown")</f>
        <v>78</v>
      </c>
      <c r="K242" s="82">
        <f>IF(COUNTIFS(tblAttendance[[#This Row],[Branch]],cAt_B,tblAttendance[[#This Row],[Semester]],cAt_S,tblAttendance[[#This Row],[Year]],cAt_Y)=1,tblAttendance[[#This Row],[Attendance %]]+ROW()/1000000000,"")</f>
        <v>0.859756339560976</v>
      </c>
    </row>
    <row r="243">
      <c r="A243" s="79" t="inlineStr">
        <is>
          <t>STU1239</t>
        </is>
      </c>
      <c r="B243" s="79" t="str">
        <f>IFERROR(INDEX(tblStudents[Student Name],MATCH(tblAttendance[[#This Row],[StudentID]],tblStudents[StudentID],0)),"Unknown")</f>
        <v>Srishti Chatterjee</v>
      </c>
      <c r="C243" s="80" t="str">
        <f>IFERROR(INDEX(tblStudents[Branch],MATCH(tblAttendance[[#This Row],[StudentID]],tblStudents[StudentID],0)),"Unknown")</f>
        <v>CSE</v>
      </c>
      <c r="D243" s="80">
        <f>IFERROR(INDEX(tblStudents[Semester],MATCH(tblAttendance[[#This Row],[StudentID]],tblStudents[StudentID],0)),"Unknown")</f>
        <v>7</v>
      </c>
      <c r="E243" s="80">
        <f>IFERROR(INDEX(tblStudents[Year],MATCH(tblAttendance[[#This Row],[StudentID]],tblStudents[StudentID],0)),"Unknown")</f>
        <v>2023</v>
      </c>
      <c r="F243" s="80" t="n">
        <v>153</v>
      </c>
      <c r="G243" s="80" t="n">
        <v>113</v>
      </c>
      <c r="H243" s="83">
        <f>IFERROR(tblAttendance[[#This Row],[Classes Attended]]/tblAttendance[[#This Row],[Classes Held]],0)</f>
        <v>0.738562091503268</v>
      </c>
      <c r="I243" s="80" t="str">
        <f>IF(tblAttendance[[#This Row],[Attendance %]]&gt;=p_AttExc,"Excellent",IF(tblAttendance[[#This Row],[Attendance %]]&gt;=p_AttGood,"Good",IF(tblAttendance[[#This Row],[Attendance %]]&gt;=p_AttMin,"Satisfactory","Shortage")))</f>
        <v>Shortage</v>
      </c>
      <c r="J243" s="80">
        <f>IFERROR(INDEX(tblStudents[Total Marks],MATCH(tblAttendance[[#This Row],[StudentID]],tblStudents[StudentID],0)),"Unknown")</f>
        <v>58</v>
      </c>
      <c r="K243" s="82">
        <f>IF(COUNTIFS(tblAttendance[[#This Row],[Branch]],cAt_B,tblAttendance[[#This Row],[Semester]],cAt_S,tblAttendance[[#This Row],[Year]],cAt_Y)=1,tblAttendance[[#This Row],[Attendance %]]+ROW()/1000000000,"")</f>
        <v>0.738562334503268</v>
      </c>
    </row>
    <row r="244">
      <c r="A244" s="79" t="inlineStr">
        <is>
          <t>STU1240</t>
        </is>
      </c>
      <c r="B244" s="79" t="str">
        <f>IFERROR(INDEX(tblStudents[Student Name],MATCH(tblAttendance[[#This Row],[StudentID]],tblStudents[StudentID],0)),"Unknown")</f>
        <v>Nikhil Nair</v>
      </c>
      <c r="C244" s="80" t="str">
        <f>IFERROR(INDEX(tblStudents[Branch],MATCH(tblAttendance[[#This Row],[StudentID]],tblStudents[StudentID],0)),"Unknown")</f>
        <v>ECE</v>
      </c>
      <c r="D244" s="80">
        <f>IFERROR(INDEX(tblStudents[Semester],MATCH(tblAttendance[[#This Row],[StudentID]],tblStudents[StudentID],0)),"Unknown")</f>
        <v>7</v>
      </c>
      <c r="E244" s="80">
        <f>IFERROR(INDEX(tblStudents[Year],MATCH(tblAttendance[[#This Row],[StudentID]],tblStudents[StudentID],0)),"Unknown")</f>
        <v>2026</v>
      </c>
      <c r="F244" s="80" t="n">
        <v>153</v>
      </c>
      <c r="G244" s="80" t="n">
        <v>139</v>
      </c>
      <c r="H244" s="83">
        <f>IFERROR(tblAttendance[[#This Row],[Classes Attended]]/tblAttendance[[#This Row],[Classes Held]],0)</f>
        <v>0.908496732026144</v>
      </c>
      <c r="I244" s="80" t="str">
        <f>IF(tblAttendance[[#This Row],[Attendance %]]&gt;=p_AttExc,"Excellent",IF(tblAttendance[[#This Row],[Attendance %]]&gt;=p_AttGood,"Good",IF(tblAttendance[[#This Row],[Attendance %]]&gt;=p_AttMin,"Satisfactory","Shortage")))</f>
        <v>Excellent</v>
      </c>
      <c r="J244" s="80">
        <f>IFERROR(INDEX(tblStudents[Total Marks],MATCH(tblAttendance[[#This Row],[StudentID]],tblStudents[StudentID],0)),"Unknown")</f>
        <v>75</v>
      </c>
      <c r="K244" s="82">
        <f>IF(COUNTIFS(tblAttendance[[#This Row],[Branch]],cAt_B,tblAttendance[[#This Row],[Semester]],cAt_S,tblAttendance[[#This Row],[Year]],cAt_Y)=1,tblAttendance[[#This Row],[Attendance %]]+ROW()/1000000000,"")</f>
        <v>0.908496976026144</v>
      </c>
    </row>
  </sheetData>
  <mergeCells count="1">
    <mergeCell ref="A1:K1"/>
  </mergeCells>
  <conditionalFormatting sqref="H5:H2000">
    <cfRule type="cellIs" priority="1" operator="lessThan" dxfId="4">
      <formula>p_AttMin</formula>
    </cfRule>
    <cfRule type="cellIs" priority="2" operator="greaterThanOrEqual" dxfId="5">
      <formula>p_AttGood</formula>
    </cfRule>
    <cfRule type="cellIs" priority="3" operator="between" dxfId="9">
      <formula>p_AttMin</formula>
      <formula>p_AttGood</formula>
    </cfRule>
  </conditionalFormatting>
  <conditionalFormatting sqref="I5:I2000">
    <cfRule type="cellIs" priority="4" operator="equal" dxfId="4">
      <formula>"Shortage"</formula>
    </cfRule>
    <cfRule type="cellIs" priority="5" operator="equal" dxfId="8">
      <formula>"Excellent"</formula>
    </cfRule>
  </conditionalFormatting>
  <hyperlinks>
    <hyperlink ref="A2" location="'Overview'!A1" display="« Back to Overview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F7B7B"/>
    <outlinePr summaryBelow="1" summaryRight="1"/>
    <pageSetUpPr/>
  </sheetPr>
  <dimension ref="A1:M34"/>
  <sheetViews>
    <sheetView showGridLines="1" tabSelected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20" customWidth="1" min="4" max="4"/>
    <col width="8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2" customWidth="1" min="11" max="11"/>
    <col width="18" customWidth="1" min="12" max="12"/>
    <col width="12" customWidth="1" min="13" max="13"/>
  </cols>
  <sheetData>
    <row r="1" ht="30" customHeight="1">
      <c r="A1" s="74" t="inlineStr">
        <is>
          <t>Faculty Performance Data  |  tblFaculty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75" t="inlineStr">
        <is>
          <t>« Back to Overview</t>
        </is>
      </c>
    </row>
    <row r="3">
      <c r="A3" s="76" t="inlineStr">
        <is>
          <t>Navy header = input column (type or paste data)   |   Teal header = formula column (fills automatically, do not overwrite)</t>
        </is>
      </c>
    </row>
    <row r="4" ht="32" customHeight="1">
      <c r="A4" s="77" t="inlineStr">
        <is>
          <t>FacultyID</t>
        </is>
      </c>
      <c r="B4" s="77" t="inlineStr">
        <is>
          <t>Faculty Name</t>
        </is>
      </c>
      <c r="C4" s="77" t="inlineStr">
        <is>
          <t>Department</t>
        </is>
      </c>
      <c r="D4" s="77" t="inlineStr">
        <is>
          <t>Designation</t>
        </is>
      </c>
      <c r="E4" s="77" t="inlineStr">
        <is>
          <t>Year</t>
        </is>
      </c>
      <c r="F4" s="77" t="inlineStr">
        <is>
          <t>Experience Yrs</t>
        </is>
      </c>
      <c r="G4" s="77" t="inlineStr">
        <is>
          <t>Courses Taught</t>
        </is>
      </c>
      <c r="H4" s="77" t="inlineStr">
        <is>
          <t>Student Feedback</t>
        </is>
      </c>
      <c r="I4" s="77" t="inlineStr">
        <is>
          <t>Student Pass Rate</t>
        </is>
      </c>
      <c r="J4" s="77" t="inlineStr">
        <is>
          <t>Research Papers</t>
        </is>
      </c>
      <c r="K4" s="78" t="inlineStr">
        <is>
          <t>Performance Score</t>
        </is>
      </c>
      <c r="L4" s="78" t="inlineStr">
        <is>
          <t>Rating</t>
        </is>
      </c>
      <c r="M4" s="78" t="inlineStr">
        <is>
          <t>Rank Key</t>
        </is>
      </c>
    </row>
    <row r="5">
      <c r="A5" s="79" t="inlineStr">
        <is>
          <t>FAC101</t>
        </is>
      </c>
      <c r="B5" s="79" t="inlineStr">
        <is>
          <t>Prof. Prakash Patel</t>
        </is>
      </c>
      <c r="C5" s="80" t="inlineStr">
        <is>
          <t>CSE</t>
        </is>
      </c>
      <c r="D5" s="79" t="inlineStr">
        <is>
          <t>Assistant Professor</t>
        </is>
      </c>
      <c r="E5" s="80" t="n">
        <v>2026</v>
      </c>
      <c r="F5" s="80" t="n">
        <v>6</v>
      </c>
      <c r="G5" s="80" t="n">
        <v>4</v>
      </c>
      <c r="H5" s="81" t="n">
        <v>4.25</v>
      </c>
      <c r="I5" s="83" t="n">
        <v>0.99</v>
      </c>
      <c r="J5" s="80" t="n">
        <v>6</v>
      </c>
      <c r="K5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78.7</v>
      </c>
      <c r="L5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5" s="82">
        <f>IF(COUNTIFS(tblFaculty[[#This Row],[Department]],cFa_B,tblFaculty[[#This Row],[Year]],cFa_Y)=1,tblFaculty[[#This Row],[Performance Score]]+ROW()/1000000,"")</f>
        <v>78.700005</v>
      </c>
    </row>
    <row r="6">
      <c r="A6" s="79" t="inlineStr">
        <is>
          <t>FAC102</t>
        </is>
      </c>
      <c r="B6" s="79" t="inlineStr">
        <is>
          <t>Dr. Mamta Reddy</t>
        </is>
      </c>
      <c r="C6" s="80" t="inlineStr">
        <is>
          <t>ECE</t>
        </is>
      </c>
      <c r="D6" s="79" t="inlineStr">
        <is>
          <t>Associate Professor</t>
        </is>
      </c>
      <c r="E6" s="80" t="n">
        <v>2023</v>
      </c>
      <c r="F6" s="80" t="n">
        <v>18</v>
      </c>
      <c r="G6" s="80" t="n">
        <v>5</v>
      </c>
      <c r="H6" s="81" t="n">
        <v>4.11</v>
      </c>
      <c r="I6" s="83" t="n">
        <v>0.9360000000000001</v>
      </c>
      <c r="J6" s="80" t="n">
        <v>8</v>
      </c>
      <c r="K6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86</v>
      </c>
      <c r="L6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6" s="82">
        <f>IF(COUNTIFS(tblFaculty[[#This Row],[Department]],cFa_B,tblFaculty[[#This Row],[Year]],cFa_Y)=1,tblFaculty[[#This Row],[Performance Score]]+ROW()/1000000,"")</f>
        <v>86.000006</v>
      </c>
    </row>
    <row r="7">
      <c r="A7" s="79" t="inlineStr">
        <is>
          <t>FAC103</t>
        </is>
      </c>
      <c r="B7" s="79" t="inlineStr">
        <is>
          <t>Dr. Usha Shah</t>
        </is>
      </c>
      <c r="C7" s="80" t="inlineStr">
        <is>
          <t>ME</t>
        </is>
      </c>
      <c r="D7" s="79" t="inlineStr">
        <is>
          <t>Associate Professor</t>
        </is>
      </c>
      <c r="E7" s="80" t="n">
        <v>2024</v>
      </c>
      <c r="F7" s="80" t="n">
        <v>16</v>
      </c>
      <c r="G7" s="80" t="n">
        <v>2</v>
      </c>
      <c r="H7" s="81" t="n">
        <v>4.71</v>
      </c>
      <c r="I7" s="83" t="n">
        <v>0.9429999999999999</v>
      </c>
      <c r="J7" s="80" t="n">
        <v>9</v>
      </c>
      <c r="K7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92</v>
      </c>
      <c r="L7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7" s="82">
        <f>IF(COUNTIFS(tblFaculty[[#This Row],[Department]],cFa_B,tblFaculty[[#This Row],[Year]],cFa_Y)=1,tblFaculty[[#This Row],[Performance Score]]+ROW()/1000000,"")</f>
        <v>92.000007</v>
      </c>
    </row>
    <row r="8">
      <c r="A8" s="79" t="inlineStr">
        <is>
          <t>FAC104</t>
        </is>
      </c>
      <c r="B8" s="79" t="inlineStr">
        <is>
          <t>Dr. Pradeep Srivastava</t>
        </is>
      </c>
      <c r="C8" s="80" t="inlineStr">
        <is>
          <t>CE</t>
        </is>
      </c>
      <c r="D8" s="79" t="inlineStr">
        <is>
          <t>Professor</t>
        </is>
      </c>
      <c r="E8" s="80" t="n">
        <v>2025</v>
      </c>
      <c r="F8" s="80" t="n">
        <v>22</v>
      </c>
      <c r="G8" s="80" t="n">
        <v>2</v>
      </c>
      <c r="H8" s="81" t="n">
        <v>4.4</v>
      </c>
      <c r="I8" s="83" t="n">
        <v>0.877</v>
      </c>
      <c r="J8" s="80" t="n">
        <v>11</v>
      </c>
      <c r="K8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91.5</v>
      </c>
      <c r="L8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8" s="82">
        <f>IF(COUNTIFS(tblFaculty[[#This Row],[Department]],cFa_B,tblFaculty[[#This Row],[Year]],cFa_Y)=1,tblFaculty[[#This Row],[Performance Score]]+ROW()/1000000,"")</f>
        <v>91.500008</v>
      </c>
    </row>
    <row r="9">
      <c r="A9" s="79" t="inlineStr">
        <is>
          <t>FAC105</t>
        </is>
      </c>
      <c r="B9" s="79" t="inlineStr">
        <is>
          <t>Prof. Sunita Banerjee</t>
        </is>
      </c>
      <c r="C9" s="80" t="inlineStr">
        <is>
          <t>IT</t>
        </is>
      </c>
      <c r="D9" s="79" t="inlineStr">
        <is>
          <t>Assistant Professor</t>
        </is>
      </c>
      <c r="E9" s="80" t="n">
        <v>2023</v>
      </c>
      <c r="F9" s="80" t="n">
        <v>6</v>
      </c>
      <c r="G9" s="80" t="n">
        <v>4</v>
      </c>
      <c r="H9" s="81" t="n">
        <v>4.51</v>
      </c>
      <c r="I9" s="83" t="n">
        <v>0.967</v>
      </c>
      <c r="J9" s="80" t="n">
        <v>0</v>
      </c>
      <c r="K9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68.1</v>
      </c>
      <c r="L9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9" s="82">
        <f>IF(COUNTIFS(tblFaculty[[#This Row],[Department]],cFa_B,tblFaculty[[#This Row],[Year]],cFa_Y)=1,tblFaculty[[#This Row],[Performance Score]]+ROW()/1000000,"")</f>
        <v>68.100009</v>
      </c>
    </row>
    <row r="10">
      <c r="A10" s="79" t="inlineStr">
        <is>
          <t>FAC106</t>
        </is>
      </c>
      <c r="B10" s="79" t="inlineStr">
        <is>
          <t>Prof. Vinod Thakur</t>
        </is>
      </c>
      <c r="C10" s="80" t="inlineStr">
        <is>
          <t>CSE</t>
        </is>
      </c>
      <c r="D10" s="79" t="inlineStr">
        <is>
          <t>Assistant Professor</t>
        </is>
      </c>
      <c r="E10" s="80" t="n">
        <v>2023</v>
      </c>
      <c r="F10" s="80" t="n">
        <v>4</v>
      </c>
      <c r="G10" s="80" t="n">
        <v>4</v>
      </c>
      <c r="H10" s="81" t="n">
        <v>3.99</v>
      </c>
      <c r="I10" s="83" t="n">
        <v>0.9360000000000001</v>
      </c>
      <c r="J10" s="80" t="n">
        <v>0</v>
      </c>
      <c r="K10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62</v>
      </c>
      <c r="L10" s="80" t="str">
        <f>IF(tblFaculty[[#This Row],[Performance Score]]&gt;=p_Rate1,"Outstanding",IF(tblFaculty[[#This Row],[Performance Score]]&gt;=p_Rate2,"Very Good",IF(tblFaculty[[#This Row],[Performance Score]]&gt;=p_Rate3,"Good","Needs Improvement")))</f>
        <v>Needs Improvement</v>
      </c>
      <c r="M10" s="82">
        <f>IF(COUNTIFS(tblFaculty[[#This Row],[Department]],cFa_B,tblFaculty[[#This Row],[Year]],cFa_Y)=1,tblFaculty[[#This Row],[Performance Score]]+ROW()/1000000,"")</f>
        <v>62.00001</v>
      </c>
    </row>
    <row r="11">
      <c r="A11" s="79" t="inlineStr">
        <is>
          <t>FAC107</t>
        </is>
      </c>
      <c r="B11" s="79" t="inlineStr">
        <is>
          <t>Prof. Seema Patel</t>
        </is>
      </c>
      <c r="C11" s="80" t="inlineStr">
        <is>
          <t>ECE</t>
        </is>
      </c>
      <c r="D11" s="79" t="inlineStr">
        <is>
          <t>Assistant Professor</t>
        </is>
      </c>
      <c r="E11" s="80" t="n">
        <v>2026</v>
      </c>
      <c r="F11" s="80" t="n">
        <v>6</v>
      </c>
      <c r="G11" s="80" t="n">
        <v>4</v>
      </c>
      <c r="H11" s="81" t="n">
        <v>3.92</v>
      </c>
      <c r="I11" s="83" t="n">
        <v>0.922</v>
      </c>
      <c r="J11" s="80" t="n">
        <v>5</v>
      </c>
      <c r="K11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72</v>
      </c>
      <c r="L11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11" s="82">
        <f>IF(COUNTIFS(tblFaculty[[#This Row],[Department]],cFa_B,tblFaculty[[#This Row],[Year]],cFa_Y)=1,tblFaculty[[#This Row],[Performance Score]]+ROW()/1000000,"")</f>
        <v>72.000011</v>
      </c>
    </row>
    <row r="12">
      <c r="A12" s="79" t="inlineStr">
        <is>
          <t>FAC108</t>
        </is>
      </c>
      <c r="B12" s="79" t="inlineStr">
        <is>
          <t>Prof. Suresh Shah</t>
        </is>
      </c>
      <c r="C12" s="80" t="inlineStr">
        <is>
          <t>ME</t>
        </is>
      </c>
      <c r="D12" s="79" t="inlineStr">
        <is>
          <t>Assistant Professor</t>
        </is>
      </c>
      <c r="E12" s="80" t="n">
        <v>2026</v>
      </c>
      <c r="F12" s="80" t="n">
        <v>6</v>
      </c>
      <c r="G12" s="80" t="n">
        <v>4</v>
      </c>
      <c r="H12" s="81" t="n">
        <v>4.12</v>
      </c>
      <c r="I12" s="83" t="n">
        <v>0.859</v>
      </c>
      <c r="J12" s="80" t="n">
        <v>6</v>
      </c>
      <c r="K12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73.7</v>
      </c>
      <c r="L12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12" s="82">
        <f>IF(COUNTIFS(tblFaculty[[#This Row],[Department]],cFa_B,tblFaculty[[#This Row],[Year]],cFa_Y)=1,tblFaculty[[#This Row],[Performance Score]]+ROW()/1000000,"")</f>
        <v>73.700012</v>
      </c>
    </row>
    <row r="13">
      <c r="A13" s="79" t="inlineStr">
        <is>
          <t>FAC109</t>
        </is>
      </c>
      <c r="B13" s="79" t="inlineStr">
        <is>
          <t>Dr. Arvind Sharma</t>
        </is>
      </c>
      <c r="C13" s="80" t="inlineStr">
        <is>
          <t>CE</t>
        </is>
      </c>
      <c r="D13" s="79" t="inlineStr">
        <is>
          <t>Professor</t>
        </is>
      </c>
      <c r="E13" s="80" t="n">
        <v>2026</v>
      </c>
      <c r="F13" s="80" t="n">
        <v>23</v>
      </c>
      <c r="G13" s="80" t="n">
        <v>4</v>
      </c>
      <c r="H13" s="81" t="n">
        <v>4.13</v>
      </c>
      <c r="I13" s="83" t="n">
        <v>0.981</v>
      </c>
      <c r="J13" s="80" t="n">
        <v>9</v>
      </c>
      <c r="K13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90.5</v>
      </c>
      <c r="L13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13" s="82">
        <f>IF(COUNTIFS(tblFaculty[[#This Row],[Department]],cFa_B,tblFaculty[[#This Row],[Year]],cFa_Y)=1,tblFaculty[[#This Row],[Performance Score]]+ROW()/1000000,"")</f>
        <v>90.500013</v>
      </c>
    </row>
    <row r="14">
      <c r="A14" s="79" t="inlineStr">
        <is>
          <t>FAC110</t>
        </is>
      </c>
      <c r="B14" s="79" t="inlineStr">
        <is>
          <t>Prof. Vivek Saxena</t>
        </is>
      </c>
      <c r="C14" s="80" t="inlineStr">
        <is>
          <t>IT</t>
        </is>
      </c>
      <c r="D14" s="79" t="inlineStr">
        <is>
          <t>Assistant Professor</t>
        </is>
      </c>
      <c r="E14" s="80" t="n">
        <v>2024</v>
      </c>
      <c r="F14" s="80" t="n">
        <v>7</v>
      </c>
      <c r="G14" s="80" t="n">
        <v>4</v>
      </c>
      <c r="H14" s="81" t="n">
        <v>3.46</v>
      </c>
      <c r="I14" s="83" t="n">
        <v>0.899</v>
      </c>
      <c r="J14" s="80" t="n">
        <v>7</v>
      </c>
      <c r="K14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72.2</v>
      </c>
      <c r="L14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14" s="82">
        <f>IF(COUNTIFS(tblFaculty[[#This Row],[Department]],cFa_B,tblFaculty[[#This Row],[Year]],cFa_Y)=1,tblFaculty[[#This Row],[Performance Score]]+ROW()/1000000,"")</f>
        <v>72.200014</v>
      </c>
    </row>
    <row r="15">
      <c r="A15" s="79" t="inlineStr">
        <is>
          <t>FAC111</t>
        </is>
      </c>
      <c r="B15" s="79" t="inlineStr">
        <is>
          <t>Dr. Anita Pandey</t>
        </is>
      </c>
      <c r="C15" s="80" t="inlineStr">
        <is>
          <t>CSE</t>
        </is>
      </c>
      <c r="D15" s="79" t="inlineStr">
        <is>
          <t>Associate Professor</t>
        </is>
      </c>
      <c r="E15" s="80" t="n">
        <v>2023</v>
      </c>
      <c r="F15" s="80" t="n">
        <v>16</v>
      </c>
      <c r="G15" s="80" t="n">
        <v>3</v>
      </c>
      <c r="H15" s="81" t="n">
        <v>3.49</v>
      </c>
      <c r="I15" s="83" t="n">
        <v>0.961</v>
      </c>
      <c r="J15" s="80" t="n">
        <v>7</v>
      </c>
      <c r="K15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78.8</v>
      </c>
      <c r="L15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15" s="82">
        <f>IF(COUNTIFS(tblFaculty[[#This Row],[Department]],cFa_B,tblFaculty[[#This Row],[Year]],cFa_Y)=1,tblFaculty[[#This Row],[Performance Score]]+ROW()/1000000,"")</f>
        <v>78.800015</v>
      </c>
    </row>
    <row r="16">
      <c r="A16" s="79" t="inlineStr">
        <is>
          <t>FAC112</t>
        </is>
      </c>
      <c r="B16" s="79" t="inlineStr">
        <is>
          <t>Prof. Ashok Srivastava</t>
        </is>
      </c>
      <c r="C16" s="80" t="inlineStr">
        <is>
          <t>ECE</t>
        </is>
      </c>
      <c r="D16" s="79" t="inlineStr">
        <is>
          <t>Assistant Professor</t>
        </is>
      </c>
      <c r="E16" s="80" t="n">
        <v>2023</v>
      </c>
      <c r="F16" s="80" t="n">
        <v>9</v>
      </c>
      <c r="G16" s="80" t="n">
        <v>4</v>
      </c>
      <c r="H16" s="81" t="n">
        <v>3.94</v>
      </c>
      <c r="I16" s="83" t="n">
        <v>0.963</v>
      </c>
      <c r="J16" s="80" t="n">
        <v>7</v>
      </c>
      <c r="K16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78.9</v>
      </c>
      <c r="L16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16" s="82">
        <f>IF(COUNTIFS(tblFaculty[[#This Row],[Department]],cFa_B,tblFaculty[[#This Row],[Year]],cFa_Y)=1,tblFaculty[[#This Row],[Performance Score]]+ROW()/1000000,"")</f>
        <v>78.900016</v>
      </c>
    </row>
    <row r="17">
      <c r="A17" s="79" t="inlineStr">
        <is>
          <t>FAC113</t>
        </is>
      </c>
      <c r="B17" s="79" t="inlineStr">
        <is>
          <t>Prof. Anil Jain</t>
        </is>
      </c>
      <c r="C17" s="80" t="inlineStr">
        <is>
          <t>ME</t>
        </is>
      </c>
      <c r="D17" s="79" t="inlineStr">
        <is>
          <t>Assistant Professor</t>
        </is>
      </c>
      <c r="E17" s="80" t="n">
        <v>2024</v>
      </c>
      <c r="F17" s="80" t="n">
        <v>11</v>
      </c>
      <c r="G17" s="80" t="n">
        <v>4</v>
      </c>
      <c r="H17" s="81" t="n">
        <v>3.71</v>
      </c>
      <c r="I17" s="83" t="n">
        <v>0.839</v>
      </c>
      <c r="J17" s="80" t="n">
        <v>5</v>
      </c>
      <c r="K17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70.4</v>
      </c>
      <c r="L17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17" s="82">
        <f>IF(COUNTIFS(tblFaculty[[#This Row],[Department]],cFa_B,tblFaculty[[#This Row],[Year]],cFa_Y)=1,tblFaculty[[#This Row],[Performance Score]]+ROW()/1000000,"")</f>
        <v>70.400017</v>
      </c>
    </row>
    <row r="18">
      <c r="A18" s="79" t="inlineStr">
        <is>
          <t>FAC114</t>
        </is>
      </c>
      <c r="B18" s="79" t="inlineStr">
        <is>
          <t>Prof. Ramesh Saxena</t>
        </is>
      </c>
      <c r="C18" s="80" t="inlineStr">
        <is>
          <t>CE</t>
        </is>
      </c>
      <c r="D18" s="79" t="inlineStr">
        <is>
          <t>Assistant Professor</t>
        </is>
      </c>
      <c r="E18" s="80" t="n">
        <v>2023</v>
      </c>
      <c r="F18" s="80" t="n">
        <v>11</v>
      </c>
      <c r="G18" s="80" t="n">
        <v>4</v>
      </c>
      <c r="H18" s="81" t="n">
        <v>3.93</v>
      </c>
      <c r="I18" s="83" t="n">
        <v>0.886</v>
      </c>
      <c r="J18" s="80" t="n">
        <v>2</v>
      </c>
      <c r="K18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67.5</v>
      </c>
      <c r="L18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18" s="82">
        <f>IF(COUNTIFS(tblFaculty[[#This Row],[Department]],cFa_B,tblFaculty[[#This Row],[Year]],cFa_Y)=1,tblFaculty[[#This Row],[Performance Score]]+ROW()/1000000,"")</f>
        <v>67.500018</v>
      </c>
    </row>
    <row r="19">
      <c r="A19" s="79" t="inlineStr">
        <is>
          <t>FAC115</t>
        </is>
      </c>
      <c r="B19" s="79" t="inlineStr">
        <is>
          <t>Dr. Archana Mishra</t>
        </is>
      </c>
      <c r="C19" s="80" t="inlineStr">
        <is>
          <t>IT</t>
        </is>
      </c>
      <c r="D19" s="79" t="inlineStr">
        <is>
          <t>Associate Professor</t>
        </is>
      </c>
      <c r="E19" s="80" t="n">
        <v>2024</v>
      </c>
      <c r="F19" s="80" t="n">
        <v>12</v>
      </c>
      <c r="G19" s="80" t="n">
        <v>2</v>
      </c>
      <c r="H19" s="81" t="n">
        <v>4.59</v>
      </c>
      <c r="I19" s="83" t="n">
        <v>0.822</v>
      </c>
      <c r="J19" s="80" t="n">
        <v>6</v>
      </c>
      <c r="K19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79.4</v>
      </c>
      <c r="L19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19" s="82">
        <f>IF(COUNTIFS(tblFaculty[[#This Row],[Department]],cFa_B,tblFaculty[[#This Row],[Year]],cFa_Y)=1,tblFaculty[[#This Row],[Performance Score]]+ROW()/1000000,"")</f>
        <v>79.400019</v>
      </c>
    </row>
    <row r="20">
      <c r="A20" s="79" t="inlineStr">
        <is>
          <t>FAC116</t>
        </is>
      </c>
      <c r="B20" s="79" t="inlineStr">
        <is>
          <t>Prof. Renu Reddy</t>
        </is>
      </c>
      <c r="C20" s="80" t="inlineStr">
        <is>
          <t>CSE</t>
        </is>
      </c>
      <c r="D20" s="79" t="inlineStr">
        <is>
          <t>Assistant Professor</t>
        </is>
      </c>
      <c r="E20" s="80" t="n">
        <v>2025</v>
      </c>
      <c r="F20" s="80" t="n">
        <v>7</v>
      </c>
      <c r="G20" s="80" t="n">
        <v>5</v>
      </c>
      <c r="H20" s="81" t="n">
        <v>3.95</v>
      </c>
      <c r="I20" s="83" t="n">
        <v>0.99</v>
      </c>
      <c r="J20" s="80" t="n">
        <v>1</v>
      </c>
      <c r="K20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66.8</v>
      </c>
      <c r="L20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20" s="82">
        <f>IF(COUNTIFS(tblFaculty[[#This Row],[Department]],cFa_B,tblFaculty[[#This Row],[Year]],cFa_Y)=1,tblFaculty[[#This Row],[Performance Score]]+ROW()/1000000,"")</f>
        <v>66.80002</v>
      </c>
    </row>
    <row r="21">
      <c r="A21" s="79" t="inlineStr">
        <is>
          <t>FAC117</t>
        </is>
      </c>
      <c r="B21" s="79" t="inlineStr">
        <is>
          <t>Dr. Rajesh Joshi</t>
        </is>
      </c>
      <c r="C21" s="80" t="inlineStr">
        <is>
          <t>ECE</t>
        </is>
      </c>
      <c r="D21" s="79" t="inlineStr">
        <is>
          <t>Associate Professor</t>
        </is>
      </c>
      <c r="E21" s="80" t="n">
        <v>2026</v>
      </c>
      <c r="F21" s="80" t="n">
        <v>17</v>
      </c>
      <c r="G21" s="80" t="n">
        <v>4</v>
      </c>
      <c r="H21" s="81" t="n">
        <v>3.52</v>
      </c>
      <c r="I21" s="83" t="n">
        <v>0.857</v>
      </c>
      <c r="J21" s="80" t="n">
        <v>9</v>
      </c>
      <c r="K21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80.4</v>
      </c>
      <c r="L21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21" s="82">
        <f>IF(COUNTIFS(tblFaculty[[#This Row],[Department]],cFa_B,tblFaculty[[#This Row],[Year]],cFa_Y)=1,tblFaculty[[#This Row],[Performance Score]]+ROW()/1000000,"")</f>
        <v>80.400021</v>
      </c>
    </row>
    <row r="22">
      <c r="A22" s="79" t="inlineStr">
        <is>
          <t>FAC118</t>
        </is>
      </c>
      <c r="B22" s="79" t="inlineStr">
        <is>
          <t>Dr. Poonam Agarwal</t>
        </is>
      </c>
      <c r="C22" s="80" t="inlineStr">
        <is>
          <t>ME</t>
        </is>
      </c>
      <c r="D22" s="79" t="inlineStr">
        <is>
          <t>Associate Professor</t>
        </is>
      </c>
      <c r="E22" s="80" t="n">
        <v>2026</v>
      </c>
      <c r="F22" s="80" t="n">
        <v>14</v>
      </c>
      <c r="G22" s="80" t="n">
        <v>4</v>
      </c>
      <c r="H22" s="81" t="n">
        <v>3.76</v>
      </c>
      <c r="I22" s="83" t="n">
        <v>0.903</v>
      </c>
      <c r="J22" s="80" t="n">
        <v>10</v>
      </c>
      <c r="K22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84.2</v>
      </c>
      <c r="L22" s="80" t="str">
        <f>IF(tblFaculty[[#This Row],[Performance Score]]&gt;=p_Rate1,"Outstanding",IF(tblFaculty[[#This Row],[Performance Score]]&gt;=p_Rate2,"Very Good",IF(tblFaculty[[#This Row],[Performance Score]]&gt;=p_Rate3,"Good","Needs Improvement")))</f>
        <v>Very Good</v>
      </c>
      <c r="M22" s="82">
        <f>IF(COUNTIFS(tblFaculty[[#This Row],[Department]],cFa_B,tblFaculty[[#This Row],[Year]],cFa_Y)=1,tblFaculty[[#This Row],[Performance Score]]+ROW()/1000000,"")</f>
        <v>84.200022</v>
      </c>
    </row>
    <row r="23">
      <c r="A23" s="79" t="inlineStr">
        <is>
          <t>FAC119</t>
        </is>
      </c>
      <c r="B23" s="79" t="inlineStr">
        <is>
          <t>Mr. Nisha Dubey</t>
        </is>
      </c>
      <c r="C23" s="80" t="inlineStr">
        <is>
          <t>CE</t>
        </is>
      </c>
      <c r="D23" s="79" t="inlineStr">
        <is>
          <t>Guest Lecturer</t>
        </is>
      </c>
      <c r="E23" s="80" t="n">
        <v>2024</v>
      </c>
      <c r="F23" s="80" t="n">
        <v>1</v>
      </c>
      <c r="G23" s="80" t="n">
        <v>5</v>
      </c>
      <c r="H23" s="81" t="n">
        <v>4.55</v>
      </c>
      <c r="I23" s="83" t="n">
        <v>0.905</v>
      </c>
      <c r="J23" s="80" t="n">
        <v>2</v>
      </c>
      <c r="K23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68.1</v>
      </c>
      <c r="L23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23" s="82">
        <f>IF(COUNTIFS(tblFaculty[[#This Row],[Department]],cFa_B,tblFaculty[[#This Row],[Year]],cFa_Y)=1,tblFaculty[[#This Row],[Performance Score]]+ROW()/1000000,"")</f>
        <v>68.100023</v>
      </c>
    </row>
    <row r="24">
      <c r="A24" s="79" t="inlineStr">
        <is>
          <t>FAC120</t>
        </is>
      </c>
      <c r="B24" s="79" t="inlineStr">
        <is>
          <t>Prof. Sanjay Ansari</t>
        </is>
      </c>
      <c r="C24" s="80" t="inlineStr">
        <is>
          <t>IT</t>
        </is>
      </c>
      <c r="D24" s="79" t="inlineStr">
        <is>
          <t>Assistant Professor</t>
        </is>
      </c>
      <c r="E24" s="80" t="n">
        <v>2024</v>
      </c>
      <c r="F24" s="80" t="n">
        <v>9</v>
      </c>
      <c r="G24" s="80" t="n">
        <v>4</v>
      </c>
      <c r="H24" s="81" t="n">
        <v>3.94</v>
      </c>
      <c r="I24" s="83" t="n">
        <v>0.921</v>
      </c>
      <c r="J24" s="80" t="n">
        <v>0</v>
      </c>
      <c r="K24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63.7</v>
      </c>
      <c r="L24" s="80" t="str">
        <f>IF(tblFaculty[[#This Row],[Performance Score]]&gt;=p_Rate1,"Outstanding",IF(tblFaculty[[#This Row],[Performance Score]]&gt;=p_Rate2,"Very Good",IF(tblFaculty[[#This Row],[Performance Score]]&gt;=p_Rate3,"Good","Needs Improvement")))</f>
        <v>Needs Improvement</v>
      </c>
      <c r="M24" s="82">
        <f>IF(COUNTIFS(tblFaculty[[#This Row],[Department]],cFa_B,tblFaculty[[#This Row],[Year]],cFa_Y)=1,tblFaculty[[#This Row],[Performance Score]]+ROW()/1000000,"")</f>
        <v>63.700024</v>
      </c>
    </row>
    <row r="25">
      <c r="A25" s="79" t="inlineStr">
        <is>
          <t>FAC121</t>
        </is>
      </c>
      <c r="B25" s="79" t="inlineStr">
        <is>
          <t>Mr. Neeta Thakur</t>
        </is>
      </c>
      <c r="C25" s="80" t="inlineStr">
        <is>
          <t>CSE</t>
        </is>
      </c>
      <c r="D25" s="79" t="inlineStr">
        <is>
          <t>Guest Lecturer</t>
        </is>
      </c>
      <c r="E25" s="80" t="n">
        <v>2024</v>
      </c>
      <c r="F25" s="80" t="n">
        <v>3</v>
      </c>
      <c r="G25" s="80" t="n">
        <v>2</v>
      </c>
      <c r="H25" s="81" t="n">
        <v>3.53</v>
      </c>
      <c r="I25" s="83" t="n">
        <v>0.906</v>
      </c>
      <c r="J25" s="80" t="n">
        <v>2</v>
      </c>
      <c r="K25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60.9</v>
      </c>
      <c r="L25" s="80" t="str">
        <f>IF(tblFaculty[[#This Row],[Performance Score]]&gt;=p_Rate1,"Outstanding",IF(tblFaculty[[#This Row],[Performance Score]]&gt;=p_Rate2,"Very Good",IF(tblFaculty[[#This Row],[Performance Score]]&gt;=p_Rate3,"Good","Needs Improvement")))</f>
        <v>Needs Improvement</v>
      </c>
      <c r="M25" s="82">
        <f>IF(COUNTIFS(tblFaculty[[#This Row],[Department]],cFa_B,tblFaculty[[#This Row],[Year]],cFa_Y)=1,tblFaculty[[#This Row],[Performance Score]]+ROW()/1000000,"")</f>
        <v>60.900025</v>
      </c>
    </row>
    <row r="26">
      <c r="A26" s="79" t="inlineStr">
        <is>
          <t>FAC122</t>
        </is>
      </c>
      <c r="B26" s="79" t="inlineStr">
        <is>
          <t>Prof. Shalini Patel</t>
        </is>
      </c>
      <c r="C26" s="80" t="inlineStr">
        <is>
          <t>ECE</t>
        </is>
      </c>
      <c r="D26" s="79" t="inlineStr">
        <is>
          <t>Assistant Professor</t>
        </is>
      </c>
      <c r="E26" s="80" t="n">
        <v>2025</v>
      </c>
      <c r="F26" s="80" t="n">
        <v>4</v>
      </c>
      <c r="G26" s="80" t="n">
        <v>2</v>
      </c>
      <c r="H26" s="81" t="n">
        <v>4.64</v>
      </c>
      <c r="I26" s="83" t="n">
        <v>0.916</v>
      </c>
      <c r="J26" s="80" t="n">
        <v>1</v>
      </c>
      <c r="K26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68.6</v>
      </c>
      <c r="L26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26" s="82">
        <f>IF(COUNTIFS(tblFaculty[[#This Row],[Department]],cFa_B,tblFaculty[[#This Row],[Year]],cFa_Y)=1,tblFaculty[[#This Row],[Performance Score]]+ROW()/1000000,"")</f>
        <v>68.600026</v>
      </c>
    </row>
    <row r="27">
      <c r="A27" s="79" t="inlineStr">
        <is>
          <t>FAC123</t>
        </is>
      </c>
      <c r="B27" s="79" t="inlineStr">
        <is>
          <t>Dr. Dinesh Gupta</t>
        </is>
      </c>
      <c r="C27" s="80" t="inlineStr">
        <is>
          <t>ME</t>
        </is>
      </c>
      <c r="D27" s="79" t="inlineStr">
        <is>
          <t>Professor</t>
        </is>
      </c>
      <c r="E27" s="80" t="n">
        <v>2025</v>
      </c>
      <c r="F27" s="80" t="n">
        <v>25</v>
      </c>
      <c r="G27" s="80" t="n">
        <v>2</v>
      </c>
      <c r="H27" s="81" t="n">
        <v>3.97</v>
      </c>
      <c r="I27" s="83" t="n">
        <v>0.884</v>
      </c>
      <c r="J27" s="80" t="n">
        <v>19</v>
      </c>
      <c r="K27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88.3</v>
      </c>
      <c r="L27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27" s="82">
        <f>IF(COUNTIFS(tblFaculty[[#This Row],[Department]],cFa_B,tblFaculty[[#This Row],[Year]],cFa_Y)=1,tblFaculty[[#This Row],[Performance Score]]+ROW()/1000000,"")</f>
        <v>88.300027</v>
      </c>
    </row>
    <row r="28">
      <c r="A28" s="79" t="inlineStr">
        <is>
          <t>FAC124</t>
        </is>
      </c>
      <c r="B28" s="79" t="inlineStr">
        <is>
          <t>Dr. Sunil Sharma</t>
        </is>
      </c>
      <c r="C28" s="80" t="inlineStr">
        <is>
          <t>CE</t>
        </is>
      </c>
      <c r="D28" s="79" t="inlineStr">
        <is>
          <t>Associate Professor</t>
        </is>
      </c>
      <c r="E28" s="80" t="n">
        <v>2026</v>
      </c>
      <c r="F28" s="80" t="n">
        <v>11</v>
      </c>
      <c r="G28" s="80" t="n">
        <v>2</v>
      </c>
      <c r="H28" s="81" t="n">
        <v>3.99</v>
      </c>
      <c r="I28" s="83" t="n">
        <v>0.983</v>
      </c>
      <c r="J28" s="80" t="n">
        <v>11</v>
      </c>
      <c r="K28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86.9</v>
      </c>
      <c r="L28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28" s="82">
        <f>IF(COUNTIFS(tblFaculty[[#This Row],[Department]],cFa_B,tblFaculty[[#This Row],[Year]],cFa_Y)=1,tblFaculty[[#This Row],[Performance Score]]+ROW()/1000000,"")</f>
        <v>86.900028</v>
      </c>
    </row>
    <row r="29">
      <c r="A29" s="79" t="inlineStr">
        <is>
          <t>FAC125</t>
        </is>
      </c>
      <c r="B29" s="79" t="inlineStr">
        <is>
          <t>Dr. Rakesh Banerjee</t>
        </is>
      </c>
      <c r="C29" s="80" t="inlineStr">
        <is>
          <t>IT</t>
        </is>
      </c>
      <c r="D29" s="79" t="inlineStr">
        <is>
          <t>Associate Professor</t>
        </is>
      </c>
      <c r="E29" s="80" t="n">
        <v>2024</v>
      </c>
      <c r="F29" s="80" t="n">
        <v>17</v>
      </c>
      <c r="G29" s="80" t="n">
        <v>2</v>
      </c>
      <c r="H29" s="81" t="n">
        <v>3.82</v>
      </c>
      <c r="I29" s="83" t="n">
        <v>0.904</v>
      </c>
      <c r="J29" s="80" t="n">
        <v>12</v>
      </c>
      <c r="K29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86.2</v>
      </c>
      <c r="L29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29" s="82">
        <f>IF(COUNTIFS(tblFaculty[[#This Row],[Department]],cFa_B,tblFaculty[[#This Row],[Year]],cFa_Y)=1,tblFaculty[[#This Row],[Performance Score]]+ROW()/1000000,"")</f>
        <v>86.200029</v>
      </c>
    </row>
    <row r="30">
      <c r="A30" s="79" t="inlineStr">
        <is>
          <t>FAC126</t>
        </is>
      </c>
      <c r="B30" s="79" t="inlineStr">
        <is>
          <t>Prof. Alok Goel</t>
        </is>
      </c>
      <c r="C30" s="80" t="inlineStr">
        <is>
          <t>CSE</t>
        </is>
      </c>
      <c r="D30" s="79" t="inlineStr">
        <is>
          <t>Assistant Professor</t>
        </is>
      </c>
      <c r="E30" s="80" t="n">
        <v>2023</v>
      </c>
      <c r="F30" s="80" t="n">
        <v>3</v>
      </c>
      <c r="G30" s="80" t="n">
        <v>5</v>
      </c>
      <c r="H30" s="81" t="n">
        <v>4</v>
      </c>
      <c r="I30" s="83" t="n">
        <v>0.895</v>
      </c>
      <c r="J30" s="80" t="n">
        <v>4</v>
      </c>
      <c r="K30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68.4</v>
      </c>
      <c r="L30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30" s="82">
        <f>IF(COUNTIFS(tblFaculty[[#This Row],[Department]],cFa_B,tblFaculty[[#This Row],[Year]],cFa_Y)=1,tblFaculty[[#This Row],[Performance Score]]+ROW()/1000000,"")</f>
        <v>68.40003</v>
      </c>
    </row>
    <row r="31">
      <c r="A31" s="79" t="inlineStr">
        <is>
          <t>FAC127</t>
        </is>
      </c>
      <c r="B31" s="79" t="inlineStr">
        <is>
          <t>Prof. Kavita Mittal</t>
        </is>
      </c>
      <c r="C31" s="80" t="inlineStr">
        <is>
          <t>ECE</t>
        </is>
      </c>
      <c r="D31" s="79" t="inlineStr">
        <is>
          <t>Assistant Professor</t>
        </is>
      </c>
      <c r="E31" s="80" t="n">
        <v>2025</v>
      </c>
      <c r="F31" s="80" t="n">
        <v>8</v>
      </c>
      <c r="G31" s="80" t="n">
        <v>5</v>
      </c>
      <c r="H31" s="81" t="n">
        <v>3.99</v>
      </c>
      <c r="I31" s="83" t="n">
        <v>0.984</v>
      </c>
      <c r="J31" s="80" t="n">
        <v>2</v>
      </c>
      <c r="K31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69.4</v>
      </c>
      <c r="L31" s="80" t="str">
        <f>IF(tblFaculty[[#This Row],[Performance Score]]&gt;=p_Rate1,"Outstanding",IF(tblFaculty[[#This Row],[Performance Score]]&gt;=p_Rate2,"Very Good",IF(tblFaculty[[#This Row],[Performance Score]]&gt;=p_Rate3,"Good","Needs Improvement")))</f>
        <v>Good</v>
      </c>
      <c r="M31" s="82">
        <f>IF(COUNTIFS(tblFaculty[[#This Row],[Department]],cFa_B,tblFaculty[[#This Row],[Year]],cFa_Y)=1,tblFaculty[[#This Row],[Performance Score]]+ROW()/1000000,"")</f>
        <v>69.400031</v>
      </c>
    </row>
    <row r="32">
      <c r="A32" s="79" t="inlineStr">
        <is>
          <t>FAC128</t>
        </is>
      </c>
      <c r="B32" s="79" t="inlineStr">
        <is>
          <t>Dr. Madhu Ansari</t>
        </is>
      </c>
      <c r="C32" s="80" t="inlineStr">
        <is>
          <t>ME</t>
        </is>
      </c>
      <c r="D32" s="79" t="inlineStr">
        <is>
          <t>Professor</t>
        </is>
      </c>
      <c r="E32" s="80" t="n">
        <v>2026</v>
      </c>
      <c r="F32" s="80" t="n">
        <v>25</v>
      </c>
      <c r="G32" s="80" t="n">
        <v>4</v>
      </c>
      <c r="H32" s="81" t="n">
        <v>4.3</v>
      </c>
      <c r="I32" s="83" t="n">
        <v>0.861</v>
      </c>
      <c r="J32" s="80" t="n">
        <v>10</v>
      </c>
      <c r="K32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90.2</v>
      </c>
      <c r="L32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32" s="82">
        <f>IF(COUNTIFS(tblFaculty[[#This Row],[Department]],cFa_B,tblFaculty[[#This Row],[Year]],cFa_Y)=1,tblFaculty[[#This Row],[Performance Score]]+ROW()/1000000,"")</f>
        <v>90.200032</v>
      </c>
    </row>
    <row r="33">
      <c r="A33" s="79" t="inlineStr">
        <is>
          <t>FAC129</t>
        </is>
      </c>
      <c r="B33" s="79" t="inlineStr">
        <is>
          <t>Mr. Rekha Chatterjee</t>
        </is>
      </c>
      <c r="C33" s="80" t="inlineStr">
        <is>
          <t>CE</t>
        </is>
      </c>
      <c r="D33" s="79" t="inlineStr">
        <is>
          <t>Guest Lecturer</t>
        </is>
      </c>
      <c r="E33" s="80" t="n">
        <v>2026</v>
      </c>
      <c r="F33" s="80" t="n">
        <v>2</v>
      </c>
      <c r="G33" s="80" t="n">
        <v>4</v>
      </c>
      <c r="H33" s="81" t="n">
        <v>3.58</v>
      </c>
      <c r="I33" s="83" t="n">
        <v>0.882</v>
      </c>
      <c r="J33" s="80" t="n">
        <v>0</v>
      </c>
      <c r="K33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56.1</v>
      </c>
      <c r="L33" s="80" t="str">
        <f>IF(tblFaculty[[#This Row],[Performance Score]]&gt;=p_Rate1,"Outstanding",IF(tblFaculty[[#This Row],[Performance Score]]&gt;=p_Rate2,"Very Good",IF(tblFaculty[[#This Row],[Performance Score]]&gt;=p_Rate3,"Good","Needs Improvement")))</f>
        <v>Needs Improvement</v>
      </c>
      <c r="M33" s="82">
        <f>IF(COUNTIFS(tblFaculty[[#This Row],[Department]],cFa_B,tblFaculty[[#This Row],[Year]],cFa_Y)=1,tblFaculty[[#This Row],[Performance Score]]+ROW()/1000000,"")</f>
        <v>56.100033</v>
      </c>
    </row>
    <row r="34">
      <c r="A34" s="79" t="inlineStr">
        <is>
          <t>FAC130</t>
        </is>
      </c>
      <c r="B34" s="79" t="inlineStr">
        <is>
          <t>Dr. Manoj Yadav</t>
        </is>
      </c>
      <c r="C34" s="80" t="inlineStr">
        <is>
          <t>IT</t>
        </is>
      </c>
      <c r="D34" s="79" t="inlineStr">
        <is>
          <t>Professor</t>
        </is>
      </c>
      <c r="E34" s="80" t="n">
        <v>2023</v>
      </c>
      <c r="F34" s="80" t="n">
        <v>28</v>
      </c>
      <c r="G34" s="80" t="n">
        <v>5</v>
      </c>
      <c r="H34" s="81" t="n">
        <v>4.48</v>
      </c>
      <c r="I34" s="83" t="n">
        <v>0.925</v>
      </c>
      <c r="J34" s="80" t="n">
        <v>17</v>
      </c>
      <c r="K34" s="84">
        <f>ROUND(tblFaculty[[#This Row],[Student Feedback]]/5*w_Fb+tblFaculty[[#This Row],[Student Pass Rate]]*w_Pass+MIN(tblFaculty[[#This Row],[Research Papers]],p_ResCap)/p_ResCap*w_Res+MIN(tblFaculty[[#This Row],[Experience Yrs]],p_ExpCap)/p_ExpCap*w_Exp,1)</f>
        <v>93.6</v>
      </c>
      <c r="L34" s="80" t="str">
        <f>IF(tblFaculty[[#This Row],[Performance Score]]&gt;=p_Rate1,"Outstanding",IF(tblFaculty[[#This Row],[Performance Score]]&gt;=p_Rate2,"Very Good",IF(tblFaculty[[#This Row],[Performance Score]]&gt;=p_Rate3,"Good","Needs Improvement")))</f>
        <v>Outstanding</v>
      </c>
      <c r="M34" s="82">
        <f>IF(COUNTIFS(tblFaculty[[#This Row],[Department]],cFa_B,tblFaculty[[#This Row],[Year]],cFa_Y)=1,tblFaculty[[#This Row],[Performance Score]]+ROW()/1000000,"")</f>
        <v>93.600034</v>
      </c>
    </row>
  </sheetData>
  <mergeCells count="1">
    <mergeCell ref="A1:M1"/>
  </mergeCells>
  <conditionalFormatting sqref="L5:L2000">
    <cfRule type="cellIs" priority="1" operator="equal" dxfId="8">
      <formula>"Outstanding"</formula>
    </cfRule>
    <cfRule type="cellIs" priority="2" operator="equal" dxfId="4">
      <formula>"Needs Improvement"</formula>
    </cfRule>
  </conditionalFormatting>
  <conditionalFormatting sqref="H5:H2000">
    <cfRule type="colorScale" priority="3">
      <colorScale>
        <cfvo type="num" val="3.2"/>
        <cfvo type="num" val="4"/>
        <cfvo type="num" val="4.9"/>
        <color rgb="00F8696B"/>
        <color rgb="00FFEB84"/>
        <color rgb="0063BE7B"/>
      </colorScale>
    </cfRule>
  </conditionalFormatting>
  <dataValidations count="2">
    <dataValidation sqref="C5:C2000" showDropDown="0" showInputMessage="0" showErrorMessage="1" allowBlank="1" error="Pick a value from the list" type="list">
      <formula1>=Lists!$A$4:$A$8</formula1>
    </dataValidation>
    <dataValidation sqref="E5:E2000" showDropDown="0" showInputMessage="0" showErrorMessage="1" allowBlank="1" error="Pick a value from the list" type="list">
      <formula1>=Lists!$G$5:$G$8</formula1>
    </dataValidation>
  </dataValidations>
  <hyperlinks>
    <hyperlink ref="A2" location="'Overview'!A1" display="« Back to Overview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F7B7B"/>
    <outlinePr summaryBelow="1" summaryRight="1"/>
    <pageSetUpPr/>
  </sheetPr>
  <dimension ref="A1:L154"/>
  <sheetViews>
    <sheetView showGridLines="1" tabSelected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8" customWidth="1" min="4" max="4"/>
    <col width="8" customWidth="1" min="5" max="5"/>
    <col width="12" customWidth="1" min="6" max="6"/>
    <col width="20" customWidth="1" min="7" max="7"/>
    <col width="27" customWidth="1" min="8" max="8"/>
    <col width="28" customWidth="1" min="9" max="9"/>
    <col width="13" customWidth="1" min="10" max="10"/>
    <col width="12" customWidth="1" min="11" max="11"/>
    <col width="12" customWidth="1" min="12" max="12"/>
  </cols>
  <sheetData>
    <row r="1" ht="30" customHeight="1">
      <c r="A1" s="74" t="inlineStr">
        <is>
          <t>Placement Data  |  tblPlacements  (Package in Lakhs Per Annum, LPA)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75" t="inlineStr">
        <is>
          <t>« Back to Overview</t>
        </is>
      </c>
    </row>
    <row r="3">
      <c r="A3" s="76" t="inlineStr">
        <is>
          <t>Navy header = input column (type or paste data)   |   Teal header = formula column (fills automatically, do not overwrite)</t>
        </is>
      </c>
    </row>
    <row r="4" ht="32" customHeight="1">
      <c r="A4" s="77" t="inlineStr">
        <is>
          <t>PlacementID</t>
        </is>
      </c>
      <c r="B4" s="77" t="inlineStr">
        <is>
          <t>Student Name</t>
        </is>
      </c>
      <c r="C4" s="77" t="inlineStr">
        <is>
          <t>Branch</t>
        </is>
      </c>
      <c r="D4" s="77" t="inlineStr">
        <is>
          <t>Year</t>
        </is>
      </c>
      <c r="E4" s="77" t="inlineStr">
        <is>
          <t>CGPA</t>
        </is>
      </c>
      <c r="F4" s="77" t="inlineStr">
        <is>
          <t>Status</t>
        </is>
      </c>
      <c r="G4" s="77" t="inlineStr">
        <is>
          <t>Company</t>
        </is>
      </c>
      <c r="H4" s="77" t="inlineStr">
        <is>
          <t>Sector</t>
        </is>
      </c>
      <c r="I4" s="77" t="inlineStr">
        <is>
          <t>Role</t>
        </is>
      </c>
      <c r="J4" s="77" t="inlineStr">
        <is>
          <t>Offer Type</t>
        </is>
      </c>
      <c r="K4" s="77" t="inlineStr">
        <is>
          <t>Package LPA</t>
        </is>
      </c>
      <c r="L4" s="78" t="inlineStr">
        <is>
          <t>Rank Key</t>
        </is>
      </c>
    </row>
    <row r="5">
      <c r="A5" s="79" t="inlineStr">
        <is>
          <t>PL2001</t>
        </is>
      </c>
      <c r="B5" s="79" t="inlineStr">
        <is>
          <t>Pooja Gupta</t>
        </is>
      </c>
      <c r="C5" s="80" t="inlineStr">
        <is>
          <t>CSE</t>
        </is>
      </c>
      <c r="D5" s="80" t="n">
        <v>2025</v>
      </c>
      <c r="E5" s="81" t="n">
        <v>7.56</v>
      </c>
      <c r="F5" s="80" t="inlineStr">
        <is>
          <t>Not Placed</t>
        </is>
      </c>
      <c r="G5" s="79" t="n"/>
      <c r="H5" s="79" t="n"/>
      <c r="I5" s="79" t="n"/>
      <c r="J5" s="80" t="n"/>
      <c r="K5" s="84" t="n"/>
      <c r="L5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6">
      <c r="A6" s="79" t="inlineStr">
        <is>
          <t>PL2002</t>
        </is>
      </c>
      <c r="B6" s="79" t="inlineStr">
        <is>
          <t>Sakshi Ansari</t>
        </is>
      </c>
      <c r="C6" s="80" t="inlineStr">
        <is>
          <t>ECE</t>
        </is>
      </c>
      <c r="D6" s="80" t="n">
        <v>2026</v>
      </c>
      <c r="E6" s="81" t="n">
        <v>8.4</v>
      </c>
      <c r="F6" s="80" t="inlineStr">
        <is>
          <t>Placed</t>
        </is>
      </c>
      <c r="G6" s="79" t="inlineStr">
        <is>
          <t>Intel</t>
        </is>
      </c>
      <c r="H6" s="79" t="inlineStr">
        <is>
          <t>Electronics &amp; Semiconductor</t>
        </is>
      </c>
      <c r="I6" s="79" t="inlineStr">
        <is>
          <t>Hardware Design Engineer</t>
        </is>
      </c>
      <c r="J6" s="80" t="inlineStr">
        <is>
          <t>On-Campus</t>
        </is>
      </c>
      <c r="K6" s="84" t="n">
        <v>21</v>
      </c>
      <c r="L6" s="82">
        <f>IF(AND(COUNTIFS(tblPlacements[[#This Row],[Branch]],cPl_B,tblPlacements[[#This Row],[Year]],cPl_Y)=1,tblPlacements[[#This Row],[Status]]="Placed"),tblPlacements[[#This Row],[Package LPA]]+ROW()/1000000,"")</f>
        <v>21.000006</v>
      </c>
    </row>
    <row r="7">
      <c r="A7" s="79" t="inlineStr">
        <is>
          <t>PL2003</t>
        </is>
      </c>
      <c r="B7" s="79" t="inlineStr">
        <is>
          <t>Swati Siddiqui</t>
        </is>
      </c>
      <c r="C7" s="80" t="inlineStr">
        <is>
          <t>CSE</t>
        </is>
      </c>
      <c r="D7" s="80" t="n">
        <v>2024</v>
      </c>
      <c r="E7" s="81" t="n">
        <v>6.77</v>
      </c>
      <c r="F7" s="80" t="inlineStr">
        <is>
          <t>Placed</t>
        </is>
      </c>
      <c r="G7" s="79" t="inlineStr">
        <is>
          <t>EY</t>
        </is>
      </c>
      <c r="H7" s="79" t="inlineStr">
        <is>
          <t>Consulting &amp; Analytics</t>
        </is>
      </c>
      <c r="I7" s="79" t="inlineStr">
        <is>
          <t>Associate Consultant</t>
        </is>
      </c>
      <c r="J7" s="80" t="inlineStr">
        <is>
          <t>On-Campus</t>
        </is>
      </c>
      <c r="K7" s="84" t="n">
        <v>5.5</v>
      </c>
      <c r="L7" s="82">
        <f>IF(AND(COUNTIFS(tblPlacements[[#This Row],[Branch]],cPl_B,tblPlacements[[#This Row],[Year]],cPl_Y)=1,tblPlacements[[#This Row],[Status]]="Placed"),tblPlacements[[#This Row],[Package LPA]]+ROW()/1000000,"")</f>
        <v>5.500007</v>
      </c>
    </row>
    <row r="8">
      <c r="A8" s="79" t="inlineStr">
        <is>
          <t>PL2004</t>
        </is>
      </c>
      <c r="B8" s="79" t="inlineStr">
        <is>
          <t>Neha Tiwari</t>
        </is>
      </c>
      <c r="C8" s="80" t="inlineStr">
        <is>
          <t>CE</t>
        </is>
      </c>
      <c r="D8" s="80" t="n">
        <v>2025</v>
      </c>
      <c r="E8" s="81" t="n">
        <v>8.02</v>
      </c>
      <c r="F8" s="80" t="inlineStr">
        <is>
          <t>Not Placed</t>
        </is>
      </c>
      <c r="G8" s="79" t="n"/>
      <c r="H8" s="79" t="n"/>
      <c r="I8" s="79" t="n"/>
      <c r="J8" s="80" t="n"/>
      <c r="K8" s="84" t="n"/>
      <c r="L8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9">
      <c r="A9" s="79" t="inlineStr">
        <is>
          <t>PL2005</t>
        </is>
      </c>
      <c r="B9" s="79" t="inlineStr">
        <is>
          <t>Pooja Chauhan</t>
        </is>
      </c>
      <c r="C9" s="80" t="inlineStr">
        <is>
          <t>ECE</t>
        </is>
      </c>
      <c r="D9" s="80" t="n">
        <v>2023</v>
      </c>
      <c r="E9" s="81" t="n">
        <v>6.19</v>
      </c>
      <c r="F9" s="80" t="inlineStr">
        <is>
          <t>Placed</t>
        </is>
      </c>
      <c r="G9" s="79" t="inlineStr">
        <is>
          <t>Deloitte</t>
        </is>
      </c>
      <c r="H9" s="79" t="inlineStr">
        <is>
          <t>Consulting &amp; Analytics</t>
        </is>
      </c>
      <c r="I9" s="79" t="inlineStr">
        <is>
          <t>Business Analyst</t>
        </is>
      </c>
      <c r="J9" s="80" t="inlineStr">
        <is>
          <t>On-Campus</t>
        </is>
      </c>
      <c r="K9" s="84" t="n">
        <v>8.199999999999999</v>
      </c>
      <c r="L9" s="82">
        <f>IF(AND(COUNTIFS(tblPlacements[[#This Row],[Branch]],cPl_B,tblPlacements[[#This Row],[Year]],cPl_Y)=1,tblPlacements[[#This Row],[Status]]="Placed"),tblPlacements[[#This Row],[Package LPA]]+ROW()/1000000,"")</f>
        <v>8.200009</v>
      </c>
    </row>
    <row r="10">
      <c r="A10" s="79" t="inlineStr">
        <is>
          <t>PL2006</t>
        </is>
      </c>
      <c r="B10" s="79" t="inlineStr">
        <is>
          <t>Neha Reddy</t>
        </is>
      </c>
      <c r="C10" s="80" t="inlineStr">
        <is>
          <t>ME</t>
        </is>
      </c>
      <c r="D10" s="80" t="n">
        <v>2024</v>
      </c>
      <c r="E10" s="81" t="n">
        <v>7.66</v>
      </c>
      <c r="F10" s="80" t="inlineStr">
        <is>
          <t>Placed</t>
        </is>
      </c>
      <c r="G10" s="79" t="inlineStr">
        <is>
          <t>Capgemini</t>
        </is>
      </c>
      <c r="H10" s="79" t="inlineStr">
        <is>
          <t>IT Services</t>
        </is>
      </c>
      <c r="I10" s="79" t="inlineStr">
        <is>
          <t>Associate Software Engineer</t>
        </is>
      </c>
      <c r="J10" s="80" t="inlineStr">
        <is>
          <t>On-Campus</t>
        </is>
      </c>
      <c r="K10" s="84" t="n">
        <v>5.8</v>
      </c>
      <c r="L10" s="82">
        <f>IF(AND(COUNTIFS(tblPlacements[[#This Row],[Branch]],cPl_B,tblPlacements[[#This Row],[Year]],cPl_Y)=1,tblPlacements[[#This Row],[Status]]="Placed"),tblPlacements[[#This Row],[Package LPA]]+ROW()/1000000,"")</f>
        <v>5.80001</v>
      </c>
    </row>
    <row r="11">
      <c r="A11" s="79" t="inlineStr">
        <is>
          <t>PL2007</t>
        </is>
      </c>
      <c r="B11" s="79" t="inlineStr">
        <is>
          <t>Utkarsh Agarwal</t>
        </is>
      </c>
      <c r="C11" s="80" t="inlineStr">
        <is>
          <t>ME</t>
        </is>
      </c>
      <c r="D11" s="80" t="n">
        <v>2025</v>
      </c>
      <c r="E11" s="81" t="n">
        <v>8.02</v>
      </c>
      <c r="F11" s="80" t="inlineStr">
        <is>
          <t>Placed</t>
        </is>
      </c>
      <c r="G11" s="79" t="inlineStr">
        <is>
          <t>KPMG</t>
        </is>
      </c>
      <c r="H11" s="79" t="inlineStr">
        <is>
          <t>Consulting &amp; Analytics</t>
        </is>
      </c>
      <c r="I11" s="79" t="inlineStr">
        <is>
          <t>Associate Consultant</t>
        </is>
      </c>
      <c r="J11" s="80" t="inlineStr">
        <is>
          <t>On-Campus</t>
        </is>
      </c>
      <c r="K11" s="84" t="n">
        <v>6.4</v>
      </c>
      <c r="L11" s="82">
        <f>IF(AND(COUNTIFS(tblPlacements[[#This Row],[Branch]],cPl_B,tblPlacements[[#This Row],[Year]],cPl_Y)=1,tblPlacements[[#This Row],[Status]]="Placed"),tblPlacements[[#This Row],[Package LPA]]+ROW()/1000000,"")</f>
        <v>6.400011</v>
      </c>
    </row>
    <row r="12">
      <c r="A12" s="79" t="inlineStr">
        <is>
          <t>PL2008</t>
        </is>
      </c>
      <c r="B12" s="79" t="inlineStr">
        <is>
          <t>Jhanvi Gupta</t>
        </is>
      </c>
      <c r="C12" s="80" t="inlineStr">
        <is>
          <t>CSE</t>
        </is>
      </c>
      <c r="D12" s="80" t="n">
        <v>2026</v>
      </c>
      <c r="E12" s="81" t="n">
        <v>7.58</v>
      </c>
      <c r="F12" s="80" t="inlineStr">
        <is>
          <t>Placed</t>
        </is>
      </c>
      <c r="G12" s="79" t="inlineStr">
        <is>
          <t>Wipro</t>
        </is>
      </c>
      <c r="H12" s="79" t="inlineStr">
        <is>
          <t>IT Services</t>
        </is>
      </c>
      <c r="I12" s="79" t="inlineStr">
        <is>
          <t>Systems Engineer</t>
        </is>
      </c>
      <c r="J12" s="80" t="inlineStr">
        <is>
          <t>On-Campus</t>
        </is>
      </c>
      <c r="K12" s="84" t="n">
        <v>5.5</v>
      </c>
      <c r="L12" s="82">
        <f>IF(AND(COUNTIFS(tblPlacements[[#This Row],[Branch]],cPl_B,tblPlacements[[#This Row],[Year]],cPl_Y)=1,tblPlacements[[#This Row],[Status]]="Placed"),tblPlacements[[#This Row],[Package LPA]]+ROW()/1000000,"")</f>
        <v>5.500012</v>
      </c>
    </row>
    <row r="13">
      <c r="A13" s="79" t="inlineStr">
        <is>
          <t>PL2009</t>
        </is>
      </c>
      <c r="B13" s="79" t="inlineStr">
        <is>
          <t>Ananya Banerjee</t>
        </is>
      </c>
      <c r="C13" s="80" t="inlineStr">
        <is>
          <t>CSE</t>
        </is>
      </c>
      <c r="D13" s="80" t="n">
        <v>2024</v>
      </c>
      <c r="E13" s="81" t="n">
        <v>5.95</v>
      </c>
      <c r="F13" s="80" t="inlineStr">
        <is>
          <t>Placed</t>
        </is>
      </c>
      <c r="G13" s="79" t="inlineStr">
        <is>
          <t>Infosys</t>
        </is>
      </c>
      <c r="H13" s="79" t="inlineStr">
        <is>
          <t>IT Services</t>
        </is>
      </c>
      <c r="I13" s="79" t="inlineStr">
        <is>
          <t>Systems Engineer</t>
        </is>
      </c>
      <c r="J13" s="80" t="inlineStr">
        <is>
          <t>On-Campus</t>
        </is>
      </c>
      <c r="K13" s="84" t="n">
        <v>3.6</v>
      </c>
      <c r="L13" s="82">
        <f>IF(AND(COUNTIFS(tblPlacements[[#This Row],[Branch]],cPl_B,tblPlacements[[#This Row],[Year]],cPl_Y)=1,tblPlacements[[#This Row],[Status]]="Placed"),tblPlacements[[#This Row],[Package LPA]]+ROW()/1000000,"")</f>
        <v>3.600013</v>
      </c>
    </row>
    <row r="14">
      <c r="A14" s="79" t="inlineStr">
        <is>
          <t>PL2010</t>
        </is>
      </c>
      <c r="B14" s="79" t="inlineStr">
        <is>
          <t>Lakshay Singh</t>
        </is>
      </c>
      <c r="C14" s="80" t="inlineStr">
        <is>
          <t>IT</t>
        </is>
      </c>
      <c r="D14" s="80" t="n">
        <v>2025</v>
      </c>
      <c r="E14" s="81" t="n">
        <v>5.8</v>
      </c>
      <c r="F14" s="80" t="inlineStr">
        <is>
          <t>Not Placed</t>
        </is>
      </c>
      <c r="G14" s="79" t="n"/>
      <c r="H14" s="79" t="n"/>
      <c r="I14" s="79" t="n"/>
      <c r="J14" s="80" t="n"/>
      <c r="K14" s="84" t="n"/>
      <c r="L14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5">
      <c r="A15" s="79" t="inlineStr">
        <is>
          <t>PL2011</t>
        </is>
      </c>
      <c r="B15" s="79" t="inlineStr">
        <is>
          <t>Kavya Thakur</t>
        </is>
      </c>
      <c r="C15" s="80" t="inlineStr">
        <is>
          <t>ECE</t>
        </is>
      </c>
      <c r="D15" s="80" t="n">
        <v>2026</v>
      </c>
      <c r="E15" s="81" t="n">
        <v>7.9</v>
      </c>
      <c r="F15" s="80" t="inlineStr">
        <is>
          <t>Placed</t>
        </is>
      </c>
      <c r="G15" s="79" t="inlineStr">
        <is>
          <t>Texas Instruments</t>
        </is>
      </c>
      <c r="H15" s="79" t="inlineStr">
        <is>
          <t>Electronics &amp; Semiconductor</t>
        </is>
      </c>
      <c r="I15" s="79" t="inlineStr">
        <is>
          <t>Hardware Design Engineer</t>
        </is>
      </c>
      <c r="J15" s="80" t="inlineStr">
        <is>
          <t>On-Campus</t>
        </is>
      </c>
      <c r="K15" s="84" t="n">
        <v>20.5</v>
      </c>
      <c r="L15" s="82">
        <f>IF(AND(COUNTIFS(tblPlacements[[#This Row],[Branch]],cPl_B,tblPlacements[[#This Row],[Year]],cPl_Y)=1,tblPlacements[[#This Row],[Status]]="Placed"),tblPlacements[[#This Row],[Package LPA]]+ROW()/1000000,"")</f>
        <v>20.500015</v>
      </c>
    </row>
    <row r="16">
      <c r="A16" s="79" t="inlineStr">
        <is>
          <t>PL2012</t>
        </is>
      </c>
      <c r="B16" s="79" t="inlineStr">
        <is>
          <t>Pranav Verma</t>
        </is>
      </c>
      <c r="C16" s="80" t="inlineStr">
        <is>
          <t>ECE</t>
        </is>
      </c>
      <c r="D16" s="80" t="n">
        <v>2025</v>
      </c>
      <c r="E16" s="81" t="n">
        <v>7.74</v>
      </c>
      <c r="F16" s="80" t="inlineStr">
        <is>
          <t>Placed</t>
        </is>
      </c>
      <c r="G16" s="79" t="inlineStr">
        <is>
          <t>Cognizant</t>
        </is>
      </c>
      <c r="H16" s="79" t="inlineStr">
        <is>
          <t>IT Services</t>
        </is>
      </c>
      <c r="I16" s="79" t="inlineStr">
        <is>
          <t>Associate Software Engineer</t>
        </is>
      </c>
      <c r="J16" s="80" t="inlineStr">
        <is>
          <t>On-Campus</t>
        </is>
      </c>
      <c r="K16" s="84" t="n">
        <v>5.2</v>
      </c>
      <c r="L16" s="82">
        <f>IF(AND(COUNTIFS(tblPlacements[[#This Row],[Branch]],cPl_B,tblPlacements[[#This Row],[Year]],cPl_Y)=1,tblPlacements[[#This Row],[Status]]="Placed"),tblPlacements[[#This Row],[Package LPA]]+ROW()/1000000,"")</f>
        <v>5.200016</v>
      </c>
    </row>
    <row r="17">
      <c r="A17" s="79" t="inlineStr">
        <is>
          <t>PL2013</t>
        </is>
      </c>
      <c r="B17" s="79" t="inlineStr">
        <is>
          <t>Garima Srivastava</t>
        </is>
      </c>
      <c r="C17" s="80" t="inlineStr">
        <is>
          <t>CSE</t>
        </is>
      </c>
      <c r="D17" s="80" t="n">
        <v>2023</v>
      </c>
      <c r="E17" s="81" t="n">
        <v>6.98</v>
      </c>
      <c r="F17" s="80" t="inlineStr">
        <is>
          <t>Not Placed</t>
        </is>
      </c>
      <c r="G17" s="79" t="n"/>
      <c r="H17" s="79" t="n"/>
      <c r="I17" s="79" t="n"/>
      <c r="J17" s="80" t="n"/>
      <c r="K17" s="84" t="n"/>
      <c r="L17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8">
      <c r="A18" s="79" t="inlineStr">
        <is>
          <t>PL2014</t>
        </is>
      </c>
      <c r="B18" s="79" t="inlineStr">
        <is>
          <t>Jhanvi Dubey</t>
        </is>
      </c>
      <c r="C18" s="80" t="inlineStr">
        <is>
          <t>CSE</t>
        </is>
      </c>
      <c r="D18" s="80" t="n">
        <v>2024</v>
      </c>
      <c r="E18" s="81" t="n">
        <v>7.35</v>
      </c>
      <c r="F18" s="80" t="inlineStr">
        <is>
          <t>Placed</t>
        </is>
      </c>
      <c r="G18" s="79" t="inlineStr">
        <is>
          <t>Adobe</t>
        </is>
      </c>
      <c r="H18" s="79" t="inlineStr">
        <is>
          <t>Product &amp; Startups</t>
        </is>
      </c>
      <c r="I18" s="79" t="inlineStr">
        <is>
          <t>Associate Product Engineer</t>
        </is>
      </c>
      <c r="J18" s="80" t="inlineStr">
        <is>
          <t>On-Campus</t>
        </is>
      </c>
      <c r="K18" s="84" t="n">
        <v>30.6</v>
      </c>
      <c r="L18" s="82">
        <f>IF(AND(COUNTIFS(tblPlacements[[#This Row],[Branch]],cPl_B,tblPlacements[[#This Row],[Year]],cPl_Y)=1,tblPlacements[[#This Row],[Status]]="Placed"),tblPlacements[[#This Row],[Package LPA]]+ROW()/1000000,"")</f>
        <v>30.600018</v>
      </c>
    </row>
    <row r="19">
      <c r="A19" s="79" t="inlineStr">
        <is>
          <t>PL2015</t>
        </is>
      </c>
      <c r="B19" s="79" t="inlineStr">
        <is>
          <t>Kavya Jain</t>
        </is>
      </c>
      <c r="C19" s="80" t="inlineStr">
        <is>
          <t>CE</t>
        </is>
      </c>
      <c r="D19" s="80" t="n">
        <v>2024</v>
      </c>
      <c r="E19" s="81" t="n">
        <v>7.04</v>
      </c>
      <c r="F19" s="80" t="inlineStr">
        <is>
          <t>Placed</t>
        </is>
      </c>
      <c r="G19" s="79" t="inlineStr">
        <is>
          <t>Tata Motors</t>
        </is>
      </c>
      <c r="H19" s="79" t="inlineStr">
        <is>
          <t>Core Engineering</t>
        </is>
      </c>
      <c r="I19" s="79" t="inlineStr">
        <is>
          <t>Production Engineer</t>
        </is>
      </c>
      <c r="J19" s="80" t="inlineStr">
        <is>
          <t>On-Campus</t>
        </is>
      </c>
      <c r="K19" s="84" t="n">
        <v>6.6</v>
      </c>
      <c r="L19" s="82">
        <f>IF(AND(COUNTIFS(tblPlacements[[#This Row],[Branch]],cPl_B,tblPlacements[[#This Row],[Year]],cPl_Y)=1,tblPlacements[[#This Row],[Status]]="Placed"),tblPlacements[[#This Row],[Package LPA]]+ROW()/1000000,"")</f>
        <v>6.600019</v>
      </c>
    </row>
    <row r="20">
      <c r="A20" s="79" t="inlineStr">
        <is>
          <t>PL2016</t>
        </is>
      </c>
      <c r="B20" s="79" t="inlineStr">
        <is>
          <t>Kavya Joshi</t>
        </is>
      </c>
      <c r="C20" s="80" t="inlineStr">
        <is>
          <t>CE</t>
        </is>
      </c>
      <c r="D20" s="80" t="n">
        <v>2025</v>
      </c>
      <c r="E20" s="81" t="n">
        <v>7.63</v>
      </c>
      <c r="F20" s="80" t="inlineStr">
        <is>
          <t>Placed</t>
        </is>
      </c>
      <c r="G20" s="79" t="inlineStr">
        <is>
          <t>L&amp;T</t>
        </is>
      </c>
      <c r="H20" s="79" t="inlineStr">
        <is>
          <t>Core Engineering</t>
        </is>
      </c>
      <c r="I20" s="79" t="inlineStr">
        <is>
          <t>Design Engineer</t>
        </is>
      </c>
      <c r="J20" s="80" t="inlineStr">
        <is>
          <t>On-Campus</t>
        </is>
      </c>
      <c r="K20" s="84" t="n">
        <v>6.8</v>
      </c>
      <c r="L20" s="82">
        <f>IF(AND(COUNTIFS(tblPlacements[[#This Row],[Branch]],cPl_B,tblPlacements[[#This Row],[Year]],cPl_Y)=1,tblPlacements[[#This Row],[Status]]="Placed"),tblPlacements[[#This Row],[Package LPA]]+ROW()/1000000,"")</f>
        <v>6.80002</v>
      </c>
    </row>
    <row r="21">
      <c r="A21" s="79" t="inlineStr">
        <is>
          <t>PL2017</t>
        </is>
      </c>
      <c r="B21" s="79" t="inlineStr">
        <is>
          <t>Pallavi Reddy</t>
        </is>
      </c>
      <c r="C21" s="80" t="inlineStr">
        <is>
          <t>ECE</t>
        </is>
      </c>
      <c r="D21" s="80" t="n">
        <v>2023</v>
      </c>
      <c r="E21" s="81" t="n">
        <v>7.48</v>
      </c>
      <c r="F21" s="80" t="inlineStr">
        <is>
          <t>Placed</t>
        </is>
      </c>
      <c r="G21" s="79" t="inlineStr">
        <is>
          <t>Intel</t>
        </is>
      </c>
      <c r="H21" s="79" t="inlineStr">
        <is>
          <t>Electronics &amp; Semiconductor</t>
        </is>
      </c>
      <c r="I21" s="79" t="inlineStr">
        <is>
          <t>Hardware Design Engineer</t>
        </is>
      </c>
      <c r="J21" s="80" t="inlineStr">
        <is>
          <t>On-Campus</t>
        </is>
      </c>
      <c r="K21" s="84" t="n">
        <v>19</v>
      </c>
      <c r="L21" s="82">
        <f>IF(AND(COUNTIFS(tblPlacements[[#This Row],[Branch]],cPl_B,tblPlacements[[#This Row],[Year]],cPl_Y)=1,tblPlacements[[#This Row],[Status]]="Placed"),tblPlacements[[#This Row],[Package LPA]]+ROW()/1000000,"")</f>
        <v>19.000021</v>
      </c>
    </row>
    <row r="22">
      <c r="A22" s="79" t="inlineStr">
        <is>
          <t>PL2018</t>
        </is>
      </c>
      <c r="B22" s="79" t="inlineStr">
        <is>
          <t>Aarav Tiwari</t>
        </is>
      </c>
      <c r="C22" s="80" t="inlineStr">
        <is>
          <t>IT</t>
        </is>
      </c>
      <c r="D22" s="80" t="n">
        <v>2025</v>
      </c>
      <c r="E22" s="81" t="n">
        <v>7.47</v>
      </c>
      <c r="F22" s="80" t="inlineStr">
        <is>
          <t>Placed</t>
        </is>
      </c>
      <c r="G22" s="79" t="inlineStr">
        <is>
          <t>Cognizant</t>
        </is>
      </c>
      <c r="H22" s="79" t="inlineStr">
        <is>
          <t>IT Services</t>
        </is>
      </c>
      <c r="I22" s="79" t="inlineStr">
        <is>
          <t>Systems Engineer</t>
        </is>
      </c>
      <c r="J22" s="80" t="inlineStr">
        <is>
          <t>On-Campus</t>
        </is>
      </c>
      <c r="K22" s="84" t="n">
        <v>5</v>
      </c>
      <c r="L22" s="82">
        <f>IF(AND(COUNTIFS(tblPlacements[[#This Row],[Branch]],cPl_B,tblPlacements[[#This Row],[Year]],cPl_Y)=1,tblPlacements[[#This Row],[Status]]="Placed"),tblPlacements[[#This Row],[Package LPA]]+ROW()/1000000,"")</f>
        <v>5.000022</v>
      </c>
    </row>
    <row r="23">
      <c r="A23" s="79" t="inlineStr">
        <is>
          <t>PL2019</t>
        </is>
      </c>
      <c r="B23" s="79" t="inlineStr">
        <is>
          <t>Pallavi Iyer</t>
        </is>
      </c>
      <c r="C23" s="80" t="inlineStr">
        <is>
          <t>ECE</t>
        </is>
      </c>
      <c r="D23" s="80" t="n">
        <v>2024</v>
      </c>
      <c r="E23" s="81" t="n">
        <v>8.65</v>
      </c>
      <c r="F23" s="80" t="inlineStr">
        <is>
          <t>Placed</t>
        </is>
      </c>
      <c r="G23" s="79" t="inlineStr">
        <is>
          <t>Cognizant</t>
        </is>
      </c>
      <c r="H23" s="79" t="inlineStr">
        <is>
          <t>IT Services</t>
        </is>
      </c>
      <c r="I23" s="79" t="inlineStr">
        <is>
          <t>Associate Software Engineer</t>
        </is>
      </c>
      <c r="J23" s="80" t="inlineStr">
        <is>
          <t>On-Campus</t>
        </is>
      </c>
      <c r="K23" s="84" t="n">
        <v>5.9</v>
      </c>
      <c r="L23" s="82">
        <f>IF(AND(COUNTIFS(tblPlacements[[#This Row],[Branch]],cPl_B,tblPlacements[[#This Row],[Year]],cPl_Y)=1,tblPlacements[[#This Row],[Status]]="Placed"),tblPlacements[[#This Row],[Package LPA]]+ROW()/1000000,"")</f>
        <v>5.900023</v>
      </c>
    </row>
    <row r="24">
      <c r="A24" s="79" t="inlineStr">
        <is>
          <t>PL2020</t>
        </is>
      </c>
      <c r="B24" s="79" t="inlineStr">
        <is>
          <t>Devansh Das</t>
        </is>
      </c>
      <c r="C24" s="80" t="inlineStr">
        <is>
          <t>ECE</t>
        </is>
      </c>
      <c r="D24" s="80" t="n">
        <v>2025</v>
      </c>
      <c r="E24" s="81" t="n">
        <v>8.02</v>
      </c>
      <c r="F24" s="80" t="inlineStr">
        <is>
          <t>Placed</t>
        </is>
      </c>
      <c r="G24" s="79" t="inlineStr">
        <is>
          <t>Intel</t>
        </is>
      </c>
      <c r="H24" s="79" t="inlineStr">
        <is>
          <t>Electronics &amp; Semiconductor</t>
        </is>
      </c>
      <c r="I24" s="79" t="inlineStr">
        <is>
          <t>Verification Engineer</t>
        </is>
      </c>
      <c r="J24" s="80" t="inlineStr">
        <is>
          <t>On-Campus</t>
        </is>
      </c>
      <c r="K24" s="84" t="n">
        <v>19.6</v>
      </c>
      <c r="L24" s="82">
        <f>IF(AND(COUNTIFS(tblPlacements[[#This Row],[Branch]],cPl_B,tblPlacements[[#This Row],[Year]],cPl_Y)=1,tblPlacements[[#This Row],[Status]]="Placed"),tblPlacements[[#This Row],[Package LPA]]+ROW()/1000000,"")</f>
        <v>19.600024</v>
      </c>
    </row>
    <row r="25">
      <c r="A25" s="79" t="inlineStr">
        <is>
          <t>PL2021</t>
        </is>
      </c>
      <c r="B25" s="79" t="inlineStr">
        <is>
          <t>Varun Srivastava</t>
        </is>
      </c>
      <c r="C25" s="80" t="inlineStr">
        <is>
          <t>CSE</t>
        </is>
      </c>
      <c r="D25" s="80" t="n">
        <v>2026</v>
      </c>
      <c r="E25" s="81" t="n">
        <v>7.76</v>
      </c>
      <c r="F25" s="80" t="inlineStr">
        <is>
          <t>Placed</t>
        </is>
      </c>
      <c r="G25" s="79" t="inlineStr">
        <is>
          <t>Infosys</t>
        </is>
      </c>
      <c r="H25" s="79" t="inlineStr">
        <is>
          <t>IT Services</t>
        </is>
      </c>
      <c r="I25" s="79" t="inlineStr">
        <is>
          <t>Analyst Programmer</t>
        </is>
      </c>
      <c r="J25" s="80" t="inlineStr">
        <is>
          <t>On-Campus</t>
        </is>
      </c>
      <c r="K25" s="84" t="n">
        <v>4.6</v>
      </c>
      <c r="L25" s="82">
        <f>IF(AND(COUNTIFS(tblPlacements[[#This Row],[Branch]],cPl_B,tblPlacements[[#This Row],[Year]],cPl_Y)=1,tblPlacements[[#This Row],[Status]]="Placed"),tblPlacements[[#This Row],[Package LPA]]+ROW()/1000000,"")</f>
        <v>4.600025</v>
      </c>
    </row>
    <row r="26">
      <c r="A26" s="79" t="inlineStr">
        <is>
          <t>PL2022</t>
        </is>
      </c>
      <c r="B26" s="79" t="inlineStr">
        <is>
          <t>Pallavi Goel</t>
        </is>
      </c>
      <c r="C26" s="80" t="inlineStr">
        <is>
          <t>ECE</t>
        </is>
      </c>
      <c r="D26" s="80" t="n">
        <v>2023</v>
      </c>
      <c r="E26" s="81" t="n">
        <v>7.83</v>
      </c>
      <c r="F26" s="80" t="inlineStr">
        <is>
          <t>Placed</t>
        </is>
      </c>
      <c r="G26" s="79" t="inlineStr">
        <is>
          <t>Intel</t>
        </is>
      </c>
      <c r="H26" s="79" t="inlineStr">
        <is>
          <t>Electronics &amp; Semiconductor</t>
        </is>
      </c>
      <c r="I26" s="79" t="inlineStr">
        <is>
          <t>Verification Engineer</t>
        </is>
      </c>
      <c r="J26" s="80" t="inlineStr">
        <is>
          <t>On-Campus</t>
        </is>
      </c>
      <c r="K26" s="84" t="n">
        <v>17.7</v>
      </c>
      <c r="L26" s="82">
        <f>IF(AND(COUNTIFS(tblPlacements[[#This Row],[Branch]],cPl_B,tblPlacements[[#This Row],[Year]],cPl_Y)=1,tblPlacements[[#This Row],[Status]]="Placed"),tblPlacements[[#This Row],[Package LPA]]+ROW()/1000000,"")</f>
        <v>17.700026</v>
      </c>
    </row>
    <row r="27">
      <c r="A27" s="79" t="inlineStr">
        <is>
          <t>PL2023</t>
        </is>
      </c>
      <c r="B27" s="79" t="inlineStr">
        <is>
          <t>Kartik Malik</t>
        </is>
      </c>
      <c r="C27" s="80" t="inlineStr">
        <is>
          <t>CSE</t>
        </is>
      </c>
      <c r="D27" s="80" t="n">
        <v>2026</v>
      </c>
      <c r="E27" s="81" t="n">
        <v>7.14</v>
      </c>
      <c r="F27" s="80" t="inlineStr">
        <is>
          <t>Not Placed</t>
        </is>
      </c>
      <c r="G27" s="79" t="n"/>
      <c r="H27" s="79" t="n"/>
      <c r="I27" s="79" t="n"/>
      <c r="J27" s="80" t="n"/>
      <c r="K27" s="84" t="n"/>
      <c r="L27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28">
      <c r="A28" s="79" t="inlineStr">
        <is>
          <t>PL2024</t>
        </is>
      </c>
      <c r="B28" s="79" t="inlineStr">
        <is>
          <t>Pranav Chauhan</t>
        </is>
      </c>
      <c r="C28" s="80" t="inlineStr">
        <is>
          <t>CSE</t>
        </is>
      </c>
      <c r="D28" s="80" t="n">
        <v>2026</v>
      </c>
      <c r="E28" s="81" t="n">
        <v>9.050000000000001</v>
      </c>
      <c r="F28" s="80" t="inlineStr">
        <is>
          <t>Placed</t>
        </is>
      </c>
      <c r="G28" s="79" t="inlineStr">
        <is>
          <t>Wipro</t>
        </is>
      </c>
      <c r="H28" s="79" t="inlineStr">
        <is>
          <t>IT Services</t>
        </is>
      </c>
      <c r="I28" s="79" t="inlineStr">
        <is>
          <t>Graduate Engineer Trainee</t>
        </is>
      </c>
      <c r="J28" s="80" t="inlineStr">
        <is>
          <t>Off-Campus</t>
        </is>
      </c>
      <c r="K28" s="84" t="n">
        <v>5.7</v>
      </c>
      <c r="L28" s="82">
        <f>IF(AND(COUNTIFS(tblPlacements[[#This Row],[Branch]],cPl_B,tblPlacements[[#This Row],[Year]],cPl_Y)=1,tblPlacements[[#This Row],[Status]]="Placed"),tblPlacements[[#This Row],[Package LPA]]+ROW()/1000000,"")</f>
        <v>5.700028</v>
      </c>
    </row>
    <row r="29">
      <c r="A29" s="79" t="inlineStr">
        <is>
          <t>PL2025</t>
        </is>
      </c>
      <c r="B29" s="79" t="inlineStr">
        <is>
          <t>Mayank Siddiqui</t>
        </is>
      </c>
      <c r="C29" s="80" t="inlineStr">
        <is>
          <t>ECE</t>
        </is>
      </c>
      <c r="D29" s="80" t="n">
        <v>2025</v>
      </c>
      <c r="E29" s="81" t="n">
        <v>8.119999999999999</v>
      </c>
      <c r="F29" s="80" t="inlineStr">
        <is>
          <t>Not Placed</t>
        </is>
      </c>
      <c r="G29" s="79" t="n"/>
      <c r="H29" s="79" t="n"/>
      <c r="I29" s="79" t="n"/>
      <c r="J29" s="80" t="n"/>
      <c r="K29" s="84" t="n"/>
      <c r="L29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30">
      <c r="A30" s="79" t="inlineStr">
        <is>
          <t>PL2026</t>
        </is>
      </c>
      <c r="B30" s="79" t="inlineStr">
        <is>
          <t>Aarushi Singh</t>
        </is>
      </c>
      <c r="C30" s="80" t="inlineStr">
        <is>
          <t>IT</t>
        </is>
      </c>
      <c r="D30" s="80" t="n">
        <v>2025</v>
      </c>
      <c r="E30" s="81" t="n">
        <v>7.56</v>
      </c>
      <c r="F30" s="80" t="inlineStr">
        <is>
          <t>Placed</t>
        </is>
      </c>
      <c r="G30" s="79" t="inlineStr">
        <is>
          <t>Wipro</t>
        </is>
      </c>
      <c r="H30" s="79" t="inlineStr">
        <is>
          <t>IT Services</t>
        </is>
      </c>
      <c r="I30" s="79" t="inlineStr">
        <is>
          <t>Associate Software Engineer</t>
        </is>
      </c>
      <c r="J30" s="80" t="inlineStr">
        <is>
          <t>On-Campus</t>
        </is>
      </c>
      <c r="K30" s="84" t="n">
        <v>5.2</v>
      </c>
      <c r="L30" s="82">
        <f>IF(AND(COUNTIFS(tblPlacements[[#This Row],[Branch]],cPl_B,tblPlacements[[#This Row],[Year]],cPl_Y)=1,tblPlacements[[#This Row],[Status]]="Placed"),tblPlacements[[#This Row],[Package LPA]]+ROW()/1000000,"")</f>
        <v>5.20003</v>
      </c>
    </row>
    <row r="31">
      <c r="A31" s="79" t="inlineStr">
        <is>
          <t>PL2027</t>
        </is>
      </c>
      <c r="B31" s="79" t="inlineStr">
        <is>
          <t>Kavya Mehta</t>
        </is>
      </c>
      <c r="C31" s="80" t="inlineStr">
        <is>
          <t>IT</t>
        </is>
      </c>
      <c r="D31" s="80" t="n">
        <v>2023</v>
      </c>
      <c r="E31" s="81" t="n">
        <v>8.68</v>
      </c>
      <c r="F31" s="80" t="inlineStr">
        <is>
          <t>Placed</t>
        </is>
      </c>
      <c r="G31" s="79" t="inlineStr">
        <is>
          <t>Zoho</t>
        </is>
      </c>
      <c r="H31" s="79" t="inlineStr">
        <is>
          <t>Product &amp; Startups</t>
        </is>
      </c>
      <c r="I31" s="79" t="inlineStr">
        <is>
          <t>Software Development Engineer</t>
        </is>
      </c>
      <c r="J31" s="80" t="inlineStr">
        <is>
          <t>On-Campus</t>
        </is>
      </c>
      <c r="K31" s="84" t="n">
        <v>11.4</v>
      </c>
      <c r="L31" s="82">
        <f>IF(AND(COUNTIFS(tblPlacements[[#This Row],[Branch]],cPl_B,tblPlacements[[#This Row],[Year]],cPl_Y)=1,tblPlacements[[#This Row],[Status]]="Placed"),tblPlacements[[#This Row],[Package LPA]]+ROW()/1000000,"")</f>
        <v>11.400031</v>
      </c>
    </row>
    <row r="32">
      <c r="A32" s="79" t="inlineStr">
        <is>
          <t>PL2028</t>
        </is>
      </c>
      <c r="B32" s="79" t="inlineStr">
        <is>
          <t>Pranav Mishra</t>
        </is>
      </c>
      <c r="C32" s="80" t="inlineStr">
        <is>
          <t>CSE</t>
        </is>
      </c>
      <c r="D32" s="80" t="n">
        <v>2025</v>
      </c>
      <c r="E32" s="81" t="n">
        <v>7.03</v>
      </c>
      <c r="F32" s="80" t="inlineStr">
        <is>
          <t>Placed</t>
        </is>
      </c>
      <c r="G32" s="79" t="inlineStr">
        <is>
          <t>Tech Mahindra</t>
        </is>
      </c>
      <c r="H32" s="79" t="inlineStr">
        <is>
          <t>IT Services</t>
        </is>
      </c>
      <c r="I32" s="79" t="inlineStr">
        <is>
          <t>Graduate Engineer Trainee</t>
        </is>
      </c>
      <c r="J32" s="80" t="inlineStr">
        <is>
          <t>On-Campus</t>
        </is>
      </c>
      <c r="K32" s="84" t="n">
        <v>4.6</v>
      </c>
      <c r="L32" s="82">
        <f>IF(AND(COUNTIFS(tblPlacements[[#This Row],[Branch]],cPl_B,tblPlacements[[#This Row],[Year]],cPl_Y)=1,tblPlacements[[#This Row],[Status]]="Placed"),tblPlacements[[#This Row],[Package LPA]]+ROW()/1000000,"")</f>
        <v>4.600032</v>
      </c>
    </row>
    <row r="33">
      <c r="A33" s="79" t="inlineStr">
        <is>
          <t>PL2029</t>
        </is>
      </c>
      <c r="B33" s="79" t="inlineStr">
        <is>
          <t>Rajat Mittal</t>
        </is>
      </c>
      <c r="C33" s="80" t="inlineStr">
        <is>
          <t>ECE</t>
        </is>
      </c>
      <c r="D33" s="80" t="n">
        <v>2024</v>
      </c>
      <c r="E33" s="81" t="n">
        <v>7.96</v>
      </c>
      <c r="F33" s="80" t="inlineStr">
        <is>
          <t>Placed</t>
        </is>
      </c>
      <c r="G33" s="79" t="inlineStr">
        <is>
          <t>Accenture</t>
        </is>
      </c>
      <c r="H33" s="79" t="inlineStr">
        <is>
          <t>Consulting &amp; Analytics</t>
        </is>
      </c>
      <c r="I33" s="79" t="inlineStr">
        <is>
          <t>Business Analyst</t>
        </is>
      </c>
      <c r="J33" s="80" t="inlineStr">
        <is>
          <t>On-Campus</t>
        </is>
      </c>
      <c r="K33" s="84" t="n">
        <v>7.7</v>
      </c>
      <c r="L33" s="82">
        <f>IF(AND(COUNTIFS(tblPlacements[[#This Row],[Branch]],cPl_B,tblPlacements[[#This Row],[Year]],cPl_Y)=1,tblPlacements[[#This Row],[Status]]="Placed"),tblPlacements[[#This Row],[Package LPA]]+ROW()/1000000,"")</f>
        <v>7.700033</v>
      </c>
    </row>
    <row r="34">
      <c r="A34" s="79" t="inlineStr">
        <is>
          <t>PL2030</t>
        </is>
      </c>
      <c r="B34" s="79" t="inlineStr">
        <is>
          <t>Tanvi Bansal</t>
        </is>
      </c>
      <c r="C34" s="80" t="inlineStr">
        <is>
          <t>ECE</t>
        </is>
      </c>
      <c r="D34" s="80" t="n">
        <v>2024</v>
      </c>
      <c r="E34" s="81" t="n">
        <v>6.99</v>
      </c>
      <c r="F34" s="80" t="inlineStr">
        <is>
          <t>Placed</t>
        </is>
      </c>
      <c r="G34" s="79" t="inlineStr">
        <is>
          <t>Accenture</t>
        </is>
      </c>
      <c r="H34" s="79" t="inlineStr">
        <is>
          <t>Consulting &amp; Analytics</t>
        </is>
      </c>
      <c r="I34" s="79" t="inlineStr">
        <is>
          <t>Business Analyst</t>
        </is>
      </c>
      <c r="J34" s="80" t="inlineStr">
        <is>
          <t>Pool Campus</t>
        </is>
      </c>
      <c r="K34" s="84" t="n">
        <v>5.6</v>
      </c>
      <c r="L34" s="82">
        <f>IF(AND(COUNTIFS(tblPlacements[[#This Row],[Branch]],cPl_B,tblPlacements[[#This Row],[Year]],cPl_Y)=1,tblPlacements[[#This Row],[Status]]="Placed"),tblPlacements[[#This Row],[Package LPA]]+ROW()/1000000,"")</f>
        <v>5.600034</v>
      </c>
    </row>
    <row r="35">
      <c r="A35" s="79" t="inlineStr">
        <is>
          <t>PL2031</t>
        </is>
      </c>
      <c r="B35" s="79" t="inlineStr">
        <is>
          <t>Tarun Mishra</t>
        </is>
      </c>
      <c r="C35" s="80" t="inlineStr">
        <is>
          <t>ECE</t>
        </is>
      </c>
      <c r="D35" s="80" t="n">
        <v>2024</v>
      </c>
      <c r="E35" s="81" t="n">
        <v>7.92</v>
      </c>
      <c r="F35" s="80" t="inlineStr">
        <is>
          <t>Placed</t>
        </is>
      </c>
      <c r="G35" s="79" t="inlineStr">
        <is>
          <t>Samsung R&amp;D</t>
        </is>
      </c>
      <c r="H35" s="79" t="inlineStr">
        <is>
          <t>Electronics &amp; Semiconductor</t>
        </is>
      </c>
      <c r="I35" s="79" t="inlineStr">
        <is>
          <t>Verification Engineer</t>
        </is>
      </c>
      <c r="J35" s="80" t="inlineStr">
        <is>
          <t>On-Campus</t>
        </is>
      </c>
      <c r="K35" s="84" t="n">
        <v>13.5</v>
      </c>
      <c r="L35" s="82">
        <f>IF(AND(COUNTIFS(tblPlacements[[#This Row],[Branch]],cPl_B,tblPlacements[[#This Row],[Year]],cPl_Y)=1,tblPlacements[[#This Row],[Status]]="Placed"),tblPlacements[[#This Row],[Package LPA]]+ROW()/1000000,"")</f>
        <v>13.500035</v>
      </c>
    </row>
    <row r="36">
      <c r="A36" s="79" t="inlineStr">
        <is>
          <t>PL2032</t>
        </is>
      </c>
      <c r="B36" s="79" t="inlineStr">
        <is>
          <t>Vishal Tyagi</t>
        </is>
      </c>
      <c r="C36" s="80" t="inlineStr">
        <is>
          <t>IT</t>
        </is>
      </c>
      <c r="D36" s="80" t="n">
        <v>2026</v>
      </c>
      <c r="E36" s="81" t="n">
        <v>6.88</v>
      </c>
      <c r="F36" s="80" t="inlineStr">
        <is>
          <t>Placed</t>
        </is>
      </c>
      <c r="G36" s="79" t="inlineStr">
        <is>
          <t>Amazon</t>
        </is>
      </c>
      <c r="H36" s="79" t="inlineStr">
        <is>
          <t>Product &amp; Startups</t>
        </is>
      </c>
      <c r="I36" s="79" t="inlineStr">
        <is>
          <t>Associate Product Engineer</t>
        </is>
      </c>
      <c r="J36" s="80" t="inlineStr">
        <is>
          <t>On-Campus</t>
        </is>
      </c>
      <c r="K36" s="84" t="n">
        <v>22.9</v>
      </c>
      <c r="L36" s="82">
        <f>IF(AND(COUNTIFS(tblPlacements[[#This Row],[Branch]],cPl_B,tblPlacements[[#This Row],[Year]],cPl_Y)=1,tblPlacements[[#This Row],[Status]]="Placed"),tblPlacements[[#This Row],[Package LPA]]+ROW()/1000000,"")</f>
        <v>22.900036</v>
      </c>
    </row>
    <row r="37">
      <c r="A37" s="79" t="inlineStr">
        <is>
          <t>PL2033</t>
        </is>
      </c>
      <c r="B37" s="79" t="inlineStr">
        <is>
          <t>Manish Malik</t>
        </is>
      </c>
      <c r="C37" s="80" t="inlineStr">
        <is>
          <t>CSE</t>
        </is>
      </c>
      <c r="D37" s="80" t="n">
        <v>2026</v>
      </c>
      <c r="E37" s="81" t="n">
        <v>8.800000000000001</v>
      </c>
      <c r="F37" s="80" t="inlineStr">
        <is>
          <t>Not Placed</t>
        </is>
      </c>
      <c r="G37" s="79" t="n"/>
      <c r="H37" s="79" t="n"/>
      <c r="I37" s="79" t="n"/>
      <c r="J37" s="80" t="n"/>
      <c r="K37" s="84" t="n"/>
      <c r="L37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38">
      <c r="A38" s="79" t="inlineStr">
        <is>
          <t>PL2034</t>
        </is>
      </c>
      <c r="B38" s="79" t="inlineStr">
        <is>
          <t>Isha Nair</t>
        </is>
      </c>
      <c r="C38" s="80" t="inlineStr">
        <is>
          <t>ECE</t>
        </is>
      </c>
      <c r="D38" s="80" t="n">
        <v>2026</v>
      </c>
      <c r="E38" s="81" t="n">
        <v>6.25</v>
      </c>
      <c r="F38" s="80" t="inlineStr">
        <is>
          <t>Placed</t>
        </is>
      </c>
      <c r="G38" s="79" t="inlineStr">
        <is>
          <t>Texas Instruments</t>
        </is>
      </c>
      <c r="H38" s="79" t="inlineStr">
        <is>
          <t>Electronics &amp; Semiconductor</t>
        </is>
      </c>
      <c r="I38" s="79" t="inlineStr">
        <is>
          <t>Embedded Software Engineer</t>
        </is>
      </c>
      <c r="J38" s="80" t="inlineStr">
        <is>
          <t>On-Campus</t>
        </is>
      </c>
      <c r="K38" s="84" t="n">
        <v>12</v>
      </c>
      <c r="L38" s="82">
        <f>IF(AND(COUNTIFS(tblPlacements[[#This Row],[Branch]],cPl_B,tblPlacements[[#This Row],[Year]],cPl_Y)=1,tblPlacements[[#This Row],[Status]]="Placed"),tblPlacements[[#This Row],[Package LPA]]+ROW()/1000000,"")</f>
        <v>12.000038</v>
      </c>
    </row>
    <row r="39">
      <c r="A39" s="79" t="inlineStr">
        <is>
          <t>PL2035</t>
        </is>
      </c>
      <c r="B39" s="79" t="inlineStr">
        <is>
          <t>Aarushi Rastogi</t>
        </is>
      </c>
      <c r="C39" s="80" t="inlineStr">
        <is>
          <t>ECE</t>
        </is>
      </c>
      <c r="D39" s="80" t="n">
        <v>2025</v>
      </c>
      <c r="E39" s="81" t="n">
        <v>7.93</v>
      </c>
      <c r="F39" s="80" t="inlineStr">
        <is>
          <t>Placed</t>
        </is>
      </c>
      <c r="G39" s="79" t="inlineStr">
        <is>
          <t>Intel</t>
        </is>
      </c>
      <c r="H39" s="79" t="inlineStr">
        <is>
          <t>Electronics &amp; Semiconductor</t>
        </is>
      </c>
      <c r="I39" s="79" t="inlineStr">
        <is>
          <t>Hardware Design Engineer</t>
        </is>
      </c>
      <c r="J39" s="80" t="inlineStr">
        <is>
          <t>On-Campus</t>
        </is>
      </c>
      <c r="K39" s="84" t="n">
        <v>19.2</v>
      </c>
      <c r="L39" s="82">
        <f>IF(AND(COUNTIFS(tblPlacements[[#This Row],[Branch]],cPl_B,tblPlacements[[#This Row],[Year]],cPl_Y)=1,tblPlacements[[#This Row],[Status]]="Placed"),tblPlacements[[#This Row],[Package LPA]]+ROW()/1000000,"")</f>
        <v>19.200039</v>
      </c>
    </row>
    <row r="40">
      <c r="A40" s="79" t="inlineStr">
        <is>
          <t>PL2036</t>
        </is>
      </c>
      <c r="B40" s="79" t="inlineStr">
        <is>
          <t>Pankaj Reddy</t>
        </is>
      </c>
      <c r="C40" s="80" t="inlineStr">
        <is>
          <t>CSE</t>
        </is>
      </c>
      <c r="D40" s="80" t="n">
        <v>2025</v>
      </c>
      <c r="E40" s="81" t="n">
        <v>6.66</v>
      </c>
      <c r="F40" s="80" t="inlineStr">
        <is>
          <t>Not Placed</t>
        </is>
      </c>
      <c r="G40" s="79" t="n"/>
      <c r="H40" s="79" t="n"/>
      <c r="I40" s="79" t="n"/>
      <c r="J40" s="80" t="n"/>
      <c r="K40" s="84" t="n"/>
      <c r="L40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41">
      <c r="A41" s="79" t="inlineStr">
        <is>
          <t>PL2037</t>
        </is>
      </c>
      <c r="B41" s="79" t="inlineStr">
        <is>
          <t>Swati Saxena</t>
        </is>
      </c>
      <c r="C41" s="80" t="inlineStr">
        <is>
          <t>IT</t>
        </is>
      </c>
      <c r="D41" s="80" t="n">
        <v>2025</v>
      </c>
      <c r="E41" s="81" t="n">
        <v>7.46</v>
      </c>
      <c r="F41" s="80" t="inlineStr">
        <is>
          <t>Placed</t>
        </is>
      </c>
      <c r="G41" s="79" t="inlineStr">
        <is>
          <t>Wipro</t>
        </is>
      </c>
      <c r="H41" s="79" t="inlineStr">
        <is>
          <t>IT Services</t>
        </is>
      </c>
      <c r="I41" s="79" t="inlineStr">
        <is>
          <t>Systems Engineer</t>
        </is>
      </c>
      <c r="J41" s="80" t="inlineStr">
        <is>
          <t>Off-Campus</t>
        </is>
      </c>
      <c r="K41" s="84" t="n">
        <v>4</v>
      </c>
      <c r="L41" s="82">
        <f>IF(AND(COUNTIFS(tblPlacements[[#This Row],[Branch]],cPl_B,tblPlacements[[#This Row],[Year]],cPl_Y)=1,tblPlacements[[#This Row],[Status]]="Placed"),tblPlacements[[#This Row],[Package LPA]]+ROW()/1000000,"")</f>
        <v>4.000041</v>
      </c>
    </row>
    <row r="42">
      <c r="A42" s="79" t="inlineStr">
        <is>
          <t>PL2038</t>
        </is>
      </c>
      <c r="B42" s="79" t="inlineStr">
        <is>
          <t>Nandini Rawat</t>
        </is>
      </c>
      <c r="C42" s="80" t="inlineStr">
        <is>
          <t>IT</t>
        </is>
      </c>
      <c r="D42" s="80" t="n">
        <v>2024</v>
      </c>
      <c r="E42" s="81" t="n">
        <v>8.6</v>
      </c>
      <c r="F42" s="80" t="inlineStr">
        <is>
          <t>Placed</t>
        </is>
      </c>
      <c r="G42" s="79" t="inlineStr">
        <is>
          <t>Microsoft</t>
        </is>
      </c>
      <c r="H42" s="79" t="inlineStr">
        <is>
          <t>Product &amp; Startups</t>
        </is>
      </c>
      <c r="I42" s="79" t="inlineStr">
        <is>
          <t>Associate Product Engineer</t>
        </is>
      </c>
      <c r="J42" s="80" t="inlineStr">
        <is>
          <t>Pool Campus</t>
        </is>
      </c>
      <c r="K42" s="84" t="n">
        <v>44.4</v>
      </c>
      <c r="L42" s="82">
        <f>IF(AND(COUNTIFS(tblPlacements[[#This Row],[Branch]],cPl_B,tblPlacements[[#This Row],[Year]],cPl_Y)=1,tblPlacements[[#This Row],[Status]]="Placed"),tblPlacements[[#This Row],[Package LPA]]+ROW()/1000000,"")</f>
        <v>44.400042</v>
      </c>
    </row>
    <row r="43">
      <c r="A43" s="79" t="inlineStr">
        <is>
          <t>PL2039</t>
        </is>
      </c>
      <c r="B43" s="79" t="inlineStr">
        <is>
          <t>Devansh Sharma</t>
        </is>
      </c>
      <c r="C43" s="80" t="inlineStr">
        <is>
          <t>IT</t>
        </is>
      </c>
      <c r="D43" s="80" t="n">
        <v>2023</v>
      </c>
      <c r="E43" s="81" t="n">
        <v>7.49</v>
      </c>
      <c r="F43" s="80" t="inlineStr">
        <is>
          <t>Placed</t>
        </is>
      </c>
      <c r="G43" s="79" t="inlineStr">
        <is>
          <t>KPMG</t>
        </is>
      </c>
      <c r="H43" s="79" t="inlineStr">
        <is>
          <t>Consulting &amp; Analytics</t>
        </is>
      </c>
      <c r="I43" s="79" t="inlineStr">
        <is>
          <t>Technology Analyst</t>
        </is>
      </c>
      <c r="J43" s="80" t="inlineStr">
        <is>
          <t>On-Campus</t>
        </is>
      </c>
      <c r="K43" s="84" t="n">
        <v>6.5</v>
      </c>
      <c r="L43" s="82">
        <f>IF(AND(COUNTIFS(tblPlacements[[#This Row],[Branch]],cPl_B,tblPlacements[[#This Row],[Year]],cPl_Y)=1,tblPlacements[[#This Row],[Status]]="Placed"),tblPlacements[[#This Row],[Package LPA]]+ROW()/1000000,"")</f>
        <v>6.500043</v>
      </c>
    </row>
    <row r="44">
      <c r="A44" s="79" t="inlineStr">
        <is>
          <t>PL2040</t>
        </is>
      </c>
      <c r="B44" s="79" t="inlineStr">
        <is>
          <t>Shubham Rawat</t>
        </is>
      </c>
      <c r="C44" s="80" t="inlineStr">
        <is>
          <t>CE</t>
        </is>
      </c>
      <c r="D44" s="80" t="n">
        <v>2024</v>
      </c>
      <c r="E44" s="81" t="n">
        <v>7.65</v>
      </c>
      <c r="F44" s="80" t="inlineStr">
        <is>
          <t>Not Placed</t>
        </is>
      </c>
      <c r="G44" s="79" t="n"/>
      <c r="H44" s="79" t="n"/>
      <c r="I44" s="79" t="n"/>
      <c r="J44" s="80" t="n"/>
      <c r="K44" s="84" t="n"/>
      <c r="L44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45">
      <c r="A45" s="79" t="inlineStr">
        <is>
          <t>PL2041</t>
        </is>
      </c>
      <c r="B45" s="79" t="inlineStr">
        <is>
          <t>Yash Malik</t>
        </is>
      </c>
      <c r="C45" s="80" t="inlineStr">
        <is>
          <t>ME</t>
        </is>
      </c>
      <c r="D45" s="80" t="n">
        <v>2026</v>
      </c>
      <c r="E45" s="81" t="n">
        <v>6.34</v>
      </c>
      <c r="F45" s="80" t="inlineStr">
        <is>
          <t>Placed</t>
        </is>
      </c>
      <c r="G45" s="79" t="inlineStr">
        <is>
          <t>Siemens</t>
        </is>
      </c>
      <c r="H45" s="79" t="inlineStr">
        <is>
          <t>Core Engineering</t>
        </is>
      </c>
      <c r="I45" s="79" t="inlineStr">
        <is>
          <t>Site Engineer</t>
        </is>
      </c>
      <c r="J45" s="80" t="inlineStr">
        <is>
          <t>On-Campus</t>
        </is>
      </c>
      <c r="K45" s="84" t="n">
        <v>7.6</v>
      </c>
      <c r="L45" s="82">
        <f>IF(AND(COUNTIFS(tblPlacements[[#This Row],[Branch]],cPl_B,tblPlacements[[#This Row],[Year]],cPl_Y)=1,tblPlacements[[#This Row],[Status]]="Placed"),tblPlacements[[#This Row],[Package LPA]]+ROW()/1000000,"")</f>
        <v>7.600045</v>
      </c>
    </row>
    <row r="46">
      <c r="A46" s="79" t="inlineStr">
        <is>
          <t>PL2042</t>
        </is>
      </c>
      <c r="B46" s="79" t="inlineStr">
        <is>
          <t>Jhanvi Mishra</t>
        </is>
      </c>
      <c r="C46" s="80" t="inlineStr">
        <is>
          <t>IT</t>
        </is>
      </c>
      <c r="D46" s="80" t="n">
        <v>2024</v>
      </c>
      <c r="E46" s="81" t="n">
        <v>8.029999999999999</v>
      </c>
      <c r="F46" s="80" t="inlineStr">
        <is>
          <t>Placed</t>
        </is>
      </c>
      <c r="G46" s="79" t="inlineStr">
        <is>
          <t>Adobe</t>
        </is>
      </c>
      <c r="H46" s="79" t="inlineStr">
        <is>
          <t>Product &amp; Startups</t>
        </is>
      </c>
      <c r="I46" s="79" t="inlineStr">
        <is>
          <t>Software Development Engineer</t>
        </is>
      </c>
      <c r="J46" s="80" t="inlineStr">
        <is>
          <t>Pool Campus</t>
        </is>
      </c>
      <c r="K46" s="84" t="n">
        <v>30.1</v>
      </c>
      <c r="L46" s="82">
        <f>IF(AND(COUNTIFS(tblPlacements[[#This Row],[Branch]],cPl_B,tblPlacements[[#This Row],[Year]],cPl_Y)=1,tblPlacements[[#This Row],[Status]]="Placed"),tblPlacements[[#This Row],[Package LPA]]+ROW()/1000000,"")</f>
        <v>30.100046</v>
      </c>
    </row>
    <row r="47">
      <c r="A47" s="79" t="inlineStr">
        <is>
          <t>PL2043</t>
        </is>
      </c>
      <c r="B47" s="79" t="inlineStr">
        <is>
          <t>Vikram Pandey</t>
        </is>
      </c>
      <c r="C47" s="80" t="inlineStr">
        <is>
          <t>CE</t>
        </is>
      </c>
      <c r="D47" s="80" t="n">
        <v>2025</v>
      </c>
      <c r="E47" s="81" t="n">
        <v>8.58</v>
      </c>
      <c r="F47" s="80" t="inlineStr">
        <is>
          <t>Not Placed</t>
        </is>
      </c>
      <c r="G47" s="79" t="n"/>
      <c r="H47" s="79" t="n"/>
      <c r="I47" s="79" t="n"/>
      <c r="J47" s="80" t="n"/>
      <c r="K47" s="84" t="n"/>
      <c r="L47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48">
      <c r="A48" s="79" t="inlineStr">
        <is>
          <t>PL2044</t>
        </is>
      </c>
      <c r="B48" s="79" t="inlineStr">
        <is>
          <t>Pooja Verma</t>
        </is>
      </c>
      <c r="C48" s="80" t="inlineStr">
        <is>
          <t>ME</t>
        </is>
      </c>
      <c r="D48" s="80" t="n">
        <v>2024</v>
      </c>
      <c r="E48" s="81" t="n">
        <v>7.26</v>
      </c>
      <c r="F48" s="80" t="inlineStr">
        <is>
          <t>Placed</t>
        </is>
      </c>
      <c r="G48" s="79" t="inlineStr">
        <is>
          <t>Bosch</t>
        </is>
      </c>
      <c r="H48" s="79" t="inlineStr">
        <is>
          <t>Core Engineering</t>
        </is>
      </c>
      <c r="I48" s="79" t="inlineStr">
        <is>
          <t>Design Engineer</t>
        </is>
      </c>
      <c r="J48" s="80" t="inlineStr">
        <is>
          <t>On-Campus</t>
        </is>
      </c>
      <c r="K48" s="84" t="n">
        <v>7.9</v>
      </c>
      <c r="L48" s="82">
        <f>IF(AND(COUNTIFS(tblPlacements[[#This Row],[Branch]],cPl_B,tblPlacements[[#This Row],[Year]],cPl_Y)=1,tblPlacements[[#This Row],[Status]]="Placed"),tblPlacements[[#This Row],[Package LPA]]+ROW()/1000000,"")</f>
        <v>7.900048</v>
      </c>
    </row>
    <row r="49">
      <c r="A49" s="79" t="inlineStr">
        <is>
          <t>PL2045</t>
        </is>
      </c>
      <c r="B49" s="79" t="inlineStr">
        <is>
          <t>Komal Thakur</t>
        </is>
      </c>
      <c r="C49" s="80" t="inlineStr">
        <is>
          <t>CSE</t>
        </is>
      </c>
      <c r="D49" s="80" t="n">
        <v>2026</v>
      </c>
      <c r="E49" s="81" t="n">
        <v>7.47</v>
      </c>
      <c r="F49" s="80" t="inlineStr">
        <is>
          <t>Not Placed</t>
        </is>
      </c>
      <c r="G49" s="79" t="n"/>
      <c r="H49" s="79" t="n"/>
      <c r="I49" s="79" t="n"/>
      <c r="J49" s="80" t="n"/>
      <c r="K49" s="84" t="n"/>
      <c r="L49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50">
      <c r="A50" s="79" t="inlineStr">
        <is>
          <t>PL2046</t>
        </is>
      </c>
      <c r="B50" s="79" t="inlineStr">
        <is>
          <t>Harsh Bansal</t>
        </is>
      </c>
      <c r="C50" s="80" t="inlineStr">
        <is>
          <t>CE</t>
        </is>
      </c>
      <c r="D50" s="80" t="n">
        <v>2026</v>
      </c>
      <c r="E50" s="81" t="n">
        <v>7.31</v>
      </c>
      <c r="F50" s="80" t="inlineStr">
        <is>
          <t>Placed</t>
        </is>
      </c>
      <c r="G50" s="79" t="inlineStr">
        <is>
          <t>Tata Projects</t>
        </is>
      </c>
      <c r="H50" s="79" t="inlineStr">
        <is>
          <t>Core Engineering</t>
        </is>
      </c>
      <c r="I50" s="79" t="inlineStr">
        <is>
          <t>Production Engineer</t>
        </is>
      </c>
      <c r="J50" s="80" t="inlineStr">
        <is>
          <t>On-Campus</t>
        </is>
      </c>
      <c r="K50" s="84" t="n">
        <v>5.3</v>
      </c>
      <c r="L50" s="82">
        <f>IF(AND(COUNTIFS(tblPlacements[[#This Row],[Branch]],cPl_B,tblPlacements[[#This Row],[Year]],cPl_Y)=1,tblPlacements[[#This Row],[Status]]="Placed"),tblPlacements[[#This Row],[Package LPA]]+ROW()/1000000,"")</f>
        <v>5.30005</v>
      </c>
    </row>
    <row r="51">
      <c r="A51" s="79" t="inlineStr">
        <is>
          <t>PL2047</t>
        </is>
      </c>
      <c r="B51" s="79" t="inlineStr">
        <is>
          <t>Aditi Goel</t>
        </is>
      </c>
      <c r="C51" s="80" t="inlineStr">
        <is>
          <t>ME</t>
        </is>
      </c>
      <c r="D51" s="80" t="n">
        <v>2025</v>
      </c>
      <c r="E51" s="81" t="n">
        <v>8.859999999999999</v>
      </c>
      <c r="F51" s="80" t="inlineStr">
        <is>
          <t>Placed</t>
        </is>
      </c>
      <c r="G51" s="79" t="inlineStr">
        <is>
          <t>Tech Mahindra</t>
        </is>
      </c>
      <c r="H51" s="79" t="inlineStr">
        <is>
          <t>IT Services</t>
        </is>
      </c>
      <c r="I51" s="79" t="inlineStr">
        <is>
          <t>Systems Engineer</t>
        </is>
      </c>
      <c r="J51" s="80" t="inlineStr">
        <is>
          <t>Pool Campus</t>
        </is>
      </c>
      <c r="K51" s="84" t="n">
        <v>5.2</v>
      </c>
      <c r="L51" s="82">
        <f>IF(AND(COUNTIFS(tblPlacements[[#This Row],[Branch]],cPl_B,tblPlacements[[#This Row],[Year]],cPl_Y)=1,tblPlacements[[#This Row],[Status]]="Placed"),tblPlacements[[#This Row],[Package LPA]]+ROW()/1000000,"")</f>
        <v>5.200051</v>
      </c>
    </row>
    <row r="52">
      <c r="A52" s="79" t="inlineStr">
        <is>
          <t>PL2048</t>
        </is>
      </c>
      <c r="B52" s="79" t="inlineStr">
        <is>
          <t>Saurabh Rastogi</t>
        </is>
      </c>
      <c r="C52" s="80" t="inlineStr">
        <is>
          <t>CE</t>
        </is>
      </c>
      <c r="D52" s="80" t="n">
        <v>2026</v>
      </c>
      <c r="E52" s="81" t="n">
        <v>6.51</v>
      </c>
      <c r="F52" s="80" t="inlineStr">
        <is>
          <t>Placed</t>
        </is>
      </c>
      <c r="G52" s="79" t="inlineStr">
        <is>
          <t>Mahindra &amp; Mahindra</t>
        </is>
      </c>
      <c r="H52" s="79" t="inlineStr">
        <is>
          <t>Core Engineering</t>
        </is>
      </c>
      <c r="I52" s="79" t="inlineStr">
        <is>
          <t>Design Engineer</t>
        </is>
      </c>
      <c r="J52" s="80" t="inlineStr">
        <is>
          <t>On-Campus</t>
        </is>
      </c>
      <c r="K52" s="84" t="n">
        <v>5.7</v>
      </c>
      <c r="L52" s="82">
        <f>IF(AND(COUNTIFS(tblPlacements[[#This Row],[Branch]],cPl_B,tblPlacements[[#This Row],[Year]],cPl_Y)=1,tblPlacements[[#This Row],[Status]]="Placed"),tblPlacements[[#This Row],[Package LPA]]+ROW()/1000000,"")</f>
        <v>5.700052</v>
      </c>
    </row>
    <row r="53">
      <c r="A53" s="79" t="inlineStr">
        <is>
          <t>PL2049</t>
        </is>
      </c>
      <c r="B53" s="79" t="inlineStr">
        <is>
          <t>Meera Saxena</t>
        </is>
      </c>
      <c r="C53" s="80" t="inlineStr">
        <is>
          <t>ECE</t>
        </is>
      </c>
      <c r="D53" s="80" t="n">
        <v>2025</v>
      </c>
      <c r="E53" s="81" t="n">
        <v>6.27</v>
      </c>
      <c r="F53" s="80" t="inlineStr">
        <is>
          <t>Placed</t>
        </is>
      </c>
      <c r="G53" s="79" t="inlineStr">
        <is>
          <t>HCLTech</t>
        </is>
      </c>
      <c r="H53" s="79" t="inlineStr">
        <is>
          <t>IT Services</t>
        </is>
      </c>
      <c r="I53" s="79" t="inlineStr">
        <is>
          <t>Graduate Engineer Trainee</t>
        </is>
      </c>
      <c r="J53" s="80" t="inlineStr">
        <is>
          <t>Pool Campus</t>
        </is>
      </c>
      <c r="K53" s="84" t="n">
        <v>4.5</v>
      </c>
      <c r="L53" s="82">
        <f>IF(AND(COUNTIFS(tblPlacements[[#This Row],[Branch]],cPl_B,tblPlacements[[#This Row],[Year]],cPl_Y)=1,tblPlacements[[#This Row],[Status]]="Placed"),tblPlacements[[#This Row],[Package LPA]]+ROW()/1000000,"")</f>
        <v>4.500053</v>
      </c>
    </row>
    <row r="54">
      <c r="A54" s="79" t="inlineStr">
        <is>
          <t>PL2050</t>
        </is>
      </c>
      <c r="B54" s="79" t="inlineStr">
        <is>
          <t>Sachin Bansal</t>
        </is>
      </c>
      <c r="C54" s="80" t="inlineStr">
        <is>
          <t>ECE</t>
        </is>
      </c>
      <c r="D54" s="80" t="n">
        <v>2024</v>
      </c>
      <c r="E54" s="81" t="n">
        <v>8.94</v>
      </c>
      <c r="F54" s="80" t="inlineStr">
        <is>
          <t>Not Placed</t>
        </is>
      </c>
      <c r="G54" s="79" t="n"/>
      <c r="H54" s="79" t="n"/>
      <c r="I54" s="79" t="n"/>
      <c r="J54" s="80" t="n"/>
      <c r="K54" s="84" t="n"/>
      <c r="L54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55">
      <c r="A55" s="79" t="inlineStr">
        <is>
          <t>PL2051</t>
        </is>
      </c>
      <c r="B55" s="79" t="inlineStr">
        <is>
          <t>Siddharth Garg</t>
        </is>
      </c>
      <c r="C55" s="80" t="inlineStr">
        <is>
          <t>IT</t>
        </is>
      </c>
      <c r="D55" s="80" t="n">
        <v>2024</v>
      </c>
      <c r="E55" s="81" t="n">
        <v>8.720000000000001</v>
      </c>
      <c r="F55" s="80" t="inlineStr">
        <is>
          <t>Placed</t>
        </is>
      </c>
      <c r="G55" s="79" t="inlineStr">
        <is>
          <t>Capgemini</t>
        </is>
      </c>
      <c r="H55" s="79" t="inlineStr">
        <is>
          <t>IT Services</t>
        </is>
      </c>
      <c r="I55" s="79" t="inlineStr">
        <is>
          <t>Analyst Programmer</t>
        </is>
      </c>
      <c r="J55" s="80" t="inlineStr">
        <is>
          <t>On-Campus</t>
        </is>
      </c>
      <c r="K55" s="84" t="n">
        <v>6.6</v>
      </c>
      <c r="L55" s="82">
        <f>IF(AND(COUNTIFS(tblPlacements[[#This Row],[Branch]],cPl_B,tblPlacements[[#This Row],[Year]],cPl_Y)=1,tblPlacements[[#This Row],[Status]]="Placed"),tblPlacements[[#This Row],[Package LPA]]+ROW()/1000000,"")</f>
        <v>6.600055</v>
      </c>
    </row>
    <row r="56">
      <c r="A56" s="79" t="inlineStr">
        <is>
          <t>PL2052</t>
        </is>
      </c>
      <c r="B56" s="79" t="inlineStr">
        <is>
          <t>Kartik Patel</t>
        </is>
      </c>
      <c r="C56" s="80" t="inlineStr">
        <is>
          <t>ECE</t>
        </is>
      </c>
      <c r="D56" s="80" t="n">
        <v>2026</v>
      </c>
      <c r="E56" s="81" t="n">
        <v>7.02</v>
      </c>
      <c r="F56" s="80" t="inlineStr">
        <is>
          <t>Not Placed</t>
        </is>
      </c>
      <c r="G56" s="79" t="n"/>
      <c r="H56" s="79" t="n"/>
      <c r="I56" s="79" t="n"/>
      <c r="J56" s="80" t="n"/>
      <c r="K56" s="84" t="n"/>
      <c r="L56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57">
      <c r="A57" s="79" t="inlineStr">
        <is>
          <t>PL2053</t>
        </is>
      </c>
      <c r="B57" s="79" t="inlineStr">
        <is>
          <t>Anjali Dubey</t>
        </is>
      </c>
      <c r="C57" s="80" t="inlineStr">
        <is>
          <t>IT</t>
        </is>
      </c>
      <c r="D57" s="80" t="n">
        <v>2026</v>
      </c>
      <c r="E57" s="81" t="n">
        <v>9.44</v>
      </c>
      <c r="F57" s="80" t="inlineStr">
        <is>
          <t>Placed</t>
        </is>
      </c>
      <c r="G57" s="79" t="inlineStr">
        <is>
          <t>Infosys</t>
        </is>
      </c>
      <c r="H57" s="79" t="inlineStr">
        <is>
          <t>IT Services</t>
        </is>
      </c>
      <c r="I57" s="79" t="inlineStr">
        <is>
          <t>Systems Engineer</t>
        </is>
      </c>
      <c r="J57" s="80" t="inlineStr">
        <is>
          <t>Off-Campus</t>
        </is>
      </c>
      <c r="K57" s="84" t="n">
        <v>6.1</v>
      </c>
      <c r="L57" s="82">
        <f>IF(AND(COUNTIFS(tblPlacements[[#This Row],[Branch]],cPl_B,tblPlacements[[#This Row],[Year]],cPl_Y)=1,tblPlacements[[#This Row],[Status]]="Placed"),tblPlacements[[#This Row],[Package LPA]]+ROW()/1000000,"")</f>
        <v>6.100057</v>
      </c>
    </row>
    <row r="58">
      <c r="A58" s="79" t="inlineStr">
        <is>
          <t>PL2054</t>
        </is>
      </c>
      <c r="B58" s="79" t="inlineStr">
        <is>
          <t>Parth Jain</t>
        </is>
      </c>
      <c r="C58" s="80" t="inlineStr">
        <is>
          <t>IT</t>
        </is>
      </c>
      <c r="D58" s="80" t="n">
        <v>2023</v>
      </c>
      <c r="E58" s="81" t="n">
        <v>7.9</v>
      </c>
      <c r="F58" s="80" t="inlineStr">
        <is>
          <t>Placed</t>
        </is>
      </c>
      <c r="G58" s="79" t="inlineStr">
        <is>
          <t>Tech Mahindra</t>
        </is>
      </c>
      <c r="H58" s="79" t="inlineStr">
        <is>
          <t>IT Services</t>
        </is>
      </c>
      <c r="I58" s="79" t="inlineStr">
        <is>
          <t>Analyst Programmer</t>
        </is>
      </c>
      <c r="J58" s="80" t="inlineStr">
        <is>
          <t>On-Campus</t>
        </is>
      </c>
      <c r="K58" s="84" t="n">
        <v>3.9</v>
      </c>
      <c r="L58" s="82">
        <f>IF(AND(COUNTIFS(tblPlacements[[#This Row],[Branch]],cPl_B,tblPlacements[[#This Row],[Year]],cPl_Y)=1,tblPlacements[[#This Row],[Status]]="Placed"),tblPlacements[[#This Row],[Package LPA]]+ROW()/1000000,"")</f>
        <v>3.900058</v>
      </c>
    </row>
    <row r="59">
      <c r="A59" s="79" t="inlineStr">
        <is>
          <t>PL2055</t>
        </is>
      </c>
      <c r="B59" s="79" t="inlineStr">
        <is>
          <t>Neha Mittal</t>
        </is>
      </c>
      <c r="C59" s="80" t="inlineStr">
        <is>
          <t>CSE</t>
        </is>
      </c>
      <c r="D59" s="80" t="n">
        <v>2023</v>
      </c>
      <c r="E59" s="81" t="n">
        <v>7.91</v>
      </c>
      <c r="F59" s="80" t="inlineStr">
        <is>
          <t>Placed</t>
        </is>
      </c>
      <c r="G59" s="79" t="inlineStr">
        <is>
          <t>HCLTech</t>
        </is>
      </c>
      <c r="H59" s="79" t="inlineStr">
        <is>
          <t>IT Services</t>
        </is>
      </c>
      <c r="I59" s="79" t="inlineStr">
        <is>
          <t>Graduate Engineer Trainee</t>
        </is>
      </c>
      <c r="J59" s="80" t="inlineStr">
        <is>
          <t>On-Campus</t>
        </is>
      </c>
      <c r="K59" s="84" t="n">
        <v>5</v>
      </c>
      <c r="L59" s="82">
        <f>IF(AND(COUNTIFS(tblPlacements[[#This Row],[Branch]],cPl_B,tblPlacements[[#This Row],[Year]],cPl_Y)=1,tblPlacements[[#This Row],[Status]]="Placed"),tblPlacements[[#This Row],[Package LPA]]+ROW()/1000000,"")</f>
        <v>5.000059</v>
      </c>
    </row>
    <row r="60">
      <c r="A60" s="79" t="inlineStr">
        <is>
          <t>PL2056</t>
        </is>
      </c>
      <c r="B60" s="79" t="inlineStr">
        <is>
          <t>Varun Kumar</t>
        </is>
      </c>
      <c r="C60" s="80" t="inlineStr">
        <is>
          <t>IT</t>
        </is>
      </c>
      <c r="D60" s="80" t="n">
        <v>2023</v>
      </c>
      <c r="E60" s="81" t="n">
        <v>7.7</v>
      </c>
      <c r="F60" s="80" t="inlineStr">
        <is>
          <t>Placed</t>
        </is>
      </c>
      <c r="G60" s="79" t="inlineStr">
        <is>
          <t>Wipro</t>
        </is>
      </c>
      <c r="H60" s="79" t="inlineStr">
        <is>
          <t>IT Services</t>
        </is>
      </c>
      <c r="I60" s="79" t="inlineStr">
        <is>
          <t>Graduate Engineer Trainee</t>
        </is>
      </c>
      <c r="J60" s="80" t="inlineStr">
        <is>
          <t>On-Campus</t>
        </is>
      </c>
      <c r="K60" s="84" t="n">
        <v>5.2</v>
      </c>
      <c r="L60" s="82">
        <f>IF(AND(COUNTIFS(tblPlacements[[#This Row],[Branch]],cPl_B,tblPlacements[[#This Row],[Year]],cPl_Y)=1,tblPlacements[[#This Row],[Status]]="Placed"),tblPlacements[[#This Row],[Package LPA]]+ROW()/1000000,"")</f>
        <v>5.20006</v>
      </c>
    </row>
    <row r="61">
      <c r="A61" s="79" t="inlineStr">
        <is>
          <t>PL2057</t>
        </is>
      </c>
      <c r="B61" s="79" t="inlineStr">
        <is>
          <t>Ayush Gupta</t>
        </is>
      </c>
      <c r="C61" s="80" t="inlineStr">
        <is>
          <t>ECE</t>
        </is>
      </c>
      <c r="D61" s="80" t="n">
        <v>2026</v>
      </c>
      <c r="E61" s="81" t="n">
        <v>7.27</v>
      </c>
      <c r="F61" s="80" t="inlineStr">
        <is>
          <t>Placed</t>
        </is>
      </c>
      <c r="G61" s="79" t="inlineStr">
        <is>
          <t>Infosys</t>
        </is>
      </c>
      <c r="H61" s="79" t="inlineStr">
        <is>
          <t>IT Services</t>
        </is>
      </c>
      <c r="I61" s="79" t="inlineStr">
        <is>
          <t>Graduate Engineer Trainee</t>
        </is>
      </c>
      <c r="J61" s="80" t="inlineStr">
        <is>
          <t>On-Campus</t>
        </is>
      </c>
      <c r="K61" s="84" t="n">
        <v>4.4</v>
      </c>
      <c r="L61" s="82">
        <f>IF(AND(COUNTIFS(tblPlacements[[#This Row],[Branch]],cPl_B,tblPlacements[[#This Row],[Year]],cPl_Y)=1,tblPlacements[[#This Row],[Status]]="Placed"),tblPlacements[[#This Row],[Package LPA]]+ROW()/1000000,"")</f>
        <v>4.400061</v>
      </c>
    </row>
    <row r="62">
      <c r="A62" s="79" t="inlineStr">
        <is>
          <t>PL2058</t>
        </is>
      </c>
      <c r="B62" s="79" t="inlineStr">
        <is>
          <t>Nandini Sharma</t>
        </is>
      </c>
      <c r="C62" s="80" t="inlineStr">
        <is>
          <t>CSE</t>
        </is>
      </c>
      <c r="D62" s="80" t="n">
        <v>2025</v>
      </c>
      <c r="E62" s="81" t="n">
        <v>8.199999999999999</v>
      </c>
      <c r="F62" s="80" t="inlineStr">
        <is>
          <t>Placed</t>
        </is>
      </c>
      <c r="G62" s="79" t="inlineStr">
        <is>
          <t>Infosys</t>
        </is>
      </c>
      <c r="H62" s="79" t="inlineStr">
        <is>
          <t>IT Services</t>
        </is>
      </c>
      <c r="I62" s="79" t="inlineStr">
        <is>
          <t>Systems Engineer</t>
        </is>
      </c>
      <c r="J62" s="80" t="inlineStr">
        <is>
          <t>On-Campus</t>
        </is>
      </c>
      <c r="K62" s="84" t="n">
        <v>5.3</v>
      </c>
      <c r="L62" s="82">
        <f>IF(AND(COUNTIFS(tblPlacements[[#This Row],[Branch]],cPl_B,tblPlacements[[#This Row],[Year]],cPl_Y)=1,tblPlacements[[#This Row],[Status]]="Placed"),tblPlacements[[#This Row],[Package LPA]]+ROW()/1000000,"")</f>
        <v>5.300062</v>
      </c>
    </row>
    <row r="63">
      <c r="A63" s="79" t="inlineStr">
        <is>
          <t>PL2059</t>
        </is>
      </c>
      <c r="B63" s="79" t="inlineStr">
        <is>
          <t>Devansh Gupta</t>
        </is>
      </c>
      <c r="C63" s="80" t="inlineStr">
        <is>
          <t>CSE</t>
        </is>
      </c>
      <c r="D63" s="80" t="n">
        <v>2023</v>
      </c>
      <c r="E63" s="81" t="n">
        <v>7.66</v>
      </c>
      <c r="F63" s="80" t="inlineStr">
        <is>
          <t>Placed</t>
        </is>
      </c>
      <c r="G63" s="79" t="inlineStr">
        <is>
          <t>Accenture</t>
        </is>
      </c>
      <c r="H63" s="79" t="inlineStr">
        <is>
          <t>Consulting &amp; Analytics</t>
        </is>
      </c>
      <c r="I63" s="79" t="inlineStr">
        <is>
          <t>Business Analyst</t>
        </is>
      </c>
      <c r="J63" s="80" t="inlineStr">
        <is>
          <t>On-Campus</t>
        </is>
      </c>
      <c r="K63" s="84" t="n">
        <v>6</v>
      </c>
      <c r="L63" s="82">
        <f>IF(AND(COUNTIFS(tblPlacements[[#This Row],[Branch]],cPl_B,tblPlacements[[#This Row],[Year]],cPl_Y)=1,tblPlacements[[#This Row],[Status]]="Placed"),tblPlacements[[#This Row],[Package LPA]]+ROW()/1000000,"")</f>
        <v>6.000063</v>
      </c>
    </row>
    <row r="64">
      <c r="A64" s="79" t="inlineStr">
        <is>
          <t>PL2060</t>
        </is>
      </c>
      <c r="B64" s="79" t="inlineStr">
        <is>
          <t>Diya Saxena</t>
        </is>
      </c>
      <c r="C64" s="80" t="inlineStr">
        <is>
          <t>CSE</t>
        </is>
      </c>
      <c r="D64" s="80" t="n">
        <v>2025</v>
      </c>
      <c r="E64" s="81" t="n">
        <v>9.19</v>
      </c>
      <c r="F64" s="80" t="inlineStr">
        <is>
          <t>Placed</t>
        </is>
      </c>
      <c r="G64" s="79" t="inlineStr">
        <is>
          <t>Accenture</t>
        </is>
      </c>
      <c r="H64" s="79" t="inlineStr">
        <is>
          <t>Consulting &amp; Analytics</t>
        </is>
      </c>
      <c r="I64" s="79" t="inlineStr">
        <is>
          <t>Technology Analyst</t>
        </is>
      </c>
      <c r="J64" s="80" t="inlineStr">
        <is>
          <t>Off-Campus</t>
        </is>
      </c>
      <c r="K64" s="84" t="n">
        <v>8.199999999999999</v>
      </c>
      <c r="L64" s="82">
        <f>IF(AND(COUNTIFS(tblPlacements[[#This Row],[Branch]],cPl_B,tblPlacements[[#This Row],[Year]],cPl_Y)=1,tblPlacements[[#This Row],[Status]]="Placed"),tblPlacements[[#This Row],[Package LPA]]+ROW()/1000000,"")</f>
        <v>8.200064</v>
      </c>
    </row>
    <row r="65">
      <c r="A65" s="79" t="inlineStr">
        <is>
          <t>PL2061</t>
        </is>
      </c>
      <c r="B65" s="79" t="inlineStr">
        <is>
          <t>Ananya Agarwal</t>
        </is>
      </c>
      <c r="C65" s="80" t="inlineStr">
        <is>
          <t>ME</t>
        </is>
      </c>
      <c r="D65" s="80" t="n">
        <v>2024</v>
      </c>
      <c r="E65" s="81" t="n">
        <v>8.539999999999999</v>
      </c>
      <c r="F65" s="80" t="inlineStr">
        <is>
          <t>Placed</t>
        </is>
      </c>
      <c r="G65" s="79" t="inlineStr">
        <is>
          <t>Tata Motors</t>
        </is>
      </c>
      <c r="H65" s="79" t="inlineStr">
        <is>
          <t>Core Engineering</t>
        </is>
      </c>
      <c r="I65" s="79" t="inlineStr">
        <is>
          <t>Design Engineer</t>
        </is>
      </c>
      <c r="J65" s="80" t="inlineStr">
        <is>
          <t>Off-Campus</t>
        </is>
      </c>
      <c r="K65" s="84" t="n">
        <v>7.8</v>
      </c>
      <c r="L65" s="82">
        <f>IF(AND(COUNTIFS(tblPlacements[[#This Row],[Branch]],cPl_B,tblPlacements[[#This Row],[Year]],cPl_Y)=1,tblPlacements[[#This Row],[Status]]="Placed"),tblPlacements[[#This Row],[Package LPA]]+ROW()/1000000,"")</f>
        <v>7.800065</v>
      </c>
    </row>
    <row r="66">
      <c r="A66" s="79" t="inlineStr">
        <is>
          <t>PL2062</t>
        </is>
      </c>
      <c r="B66" s="79" t="inlineStr">
        <is>
          <t>Neha Shah</t>
        </is>
      </c>
      <c r="C66" s="80" t="inlineStr">
        <is>
          <t>ME</t>
        </is>
      </c>
      <c r="D66" s="80" t="n">
        <v>2024</v>
      </c>
      <c r="E66" s="81" t="n">
        <v>7.07</v>
      </c>
      <c r="F66" s="80" t="inlineStr">
        <is>
          <t>Placed</t>
        </is>
      </c>
      <c r="G66" s="79" t="inlineStr">
        <is>
          <t>Wipro</t>
        </is>
      </c>
      <c r="H66" s="79" t="inlineStr">
        <is>
          <t>IT Services</t>
        </is>
      </c>
      <c r="I66" s="79" t="inlineStr">
        <is>
          <t>Graduate Engineer Trainee</t>
        </is>
      </c>
      <c r="J66" s="80" t="inlineStr">
        <is>
          <t>On-Campus</t>
        </is>
      </c>
      <c r="K66" s="84" t="n">
        <v>5</v>
      </c>
      <c r="L66" s="82">
        <f>IF(AND(COUNTIFS(tblPlacements[[#This Row],[Branch]],cPl_B,tblPlacements[[#This Row],[Year]],cPl_Y)=1,tblPlacements[[#This Row],[Status]]="Placed"),tblPlacements[[#This Row],[Package LPA]]+ROW()/1000000,"")</f>
        <v>5.000066</v>
      </c>
    </row>
    <row r="67">
      <c r="A67" s="79" t="inlineStr">
        <is>
          <t>PL2063</t>
        </is>
      </c>
      <c r="B67" s="79" t="inlineStr">
        <is>
          <t>Sachin Chatterjee</t>
        </is>
      </c>
      <c r="C67" s="80" t="inlineStr">
        <is>
          <t>CE</t>
        </is>
      </c>
      <c r="D67" s="80" t="n">
        <v>2025</v>
      </c>
      <c r="E67" s="81" t="n">
        <v>8.470000000000001</v>
      </c>
      <c r="F67" s="80" t="inlineStr">
        <is>
          <t>Placed</t>
        </is>
      </c>
      <c r="G67" s="79" t="inlineStr">
        <is>
          <t>Tata Motors</t>
        </is>
      </c>
      <c r="H67" s="79" t="inlineStr">
        <is>
          <t>Core Engineering</t>
        </is>
      </c>
      <c r="I67" s="79" t="inlineStr">
        <is>
          <t>Site Engineer</t>
        </is>
      </c>
      <c r="J67" s="80" t="inlineStr">
        <is>
          <t>On-Campus</t>
        </is>
      </c>
      <c r="K67" s="84" t="n">
        <v>7</v>
      </c>
      <c r="L67" s="82">
        <f>IF(AND(COUNTIFS(tblPlacements[[#This Row],[Branch]],cPl_B,tblPlacements[[#This Row],[Year]],cPl_Y)=1,tblPlacements[[#This Row],[Status]]="Placed"),tblPlacements[[#This Row],[Package LPA]]+ROW()/1000000,"")</f>
        <v>7.000067</v>
      </c>
    </row>
    <row r="68">
      <c r="A68" s="79" t="inlineStr">
        <is>
          <t>PL2064</t>
        </is>
      </c>
      <c r="B68" s="79" t="inlineStr">
        <is>
          <t>Siddharth Malik</t>
        </is>
      </c>
      <c r="C68" s="80" t="inlineStr">
        <is>
          <t>CSE</t>
        </is>
      </c>
      <c r="D68" s="80" t="n">
        <v>2025</v>
      </c>
      <c r="E68" s="81" t="n">
        <v>8.02</v>
      </c>
      <c r="F68" s="80" t="inlineStr">
        <is>
          <t>Placed</t>
        </is>
      </c>
      <c r="G68" s="79" t="inlineStr">
        <is>
          <t>KPMG</t>
        </is>
      </c>
      <c r="H68" s="79" t="inlineStr">
        <is>
          <t>Consulting &amp; Analytics</t>
        </is>
      </c>
      <c r="I68" s="79" t="inlineStr">
        <is>
          <t>Associate Consultant</t>
        </is>
      </c>
      <c r="J68" s="80" t="inlineStr">
        <is>
          <t>On-Campus</t>
        </is>
      </c>
      <c r="K68" s="84" t="n">
        <v>7.4</v>
      </c>
      <c r="L68" s="82">
        <f>IF(AND(COUNTIFS(tblPlacements[[#This Row],[Branch]],cPl_B,tblPlacements[[#This Row],[Year]],cPl_Y)=1,tblPlacements[[#This Row],[Status]]="Placed"),tblPlacements[[#This Row],[Package LPA]]+ROW()/1000000,"")</f>
        <v>7.400068</v>
      </c>
    </row>
    <row r="69">
      <c r="A69" s="79" t="inlineStr">
        <is>
          <t>PL2065</t>
        </is>
      </c>
      <c r="B69" s="79" t="inlineStr">
        <is>
          <t>Sneha Kapoor</t>
        </is>
      </c>
      <c r="C69" s="80" t="inlineStr">
        <is>
          <t>CE</t>
        </is>
      </c>
      <c r="D69" s="80" t="n">
        <v>2025</v>
      </c>
      <c r="E69" s="81" t="n">
        <v>8.039999999999999</v>
      </c>
      <c r="F69" s="80" t="inlineStr">
        <is>
          <t>Not Placed</t>
        </is>
      </c>
      <c r="G69" s="79" t="n"/>
      <c r="H69" s="79" t="n"/>
      <c r="I69" s="79" t="n"/>
      <c r="J69" s="80" t="n"/>
      <c r="K69" s="84" t="n"/>
      <c r="L69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70">
      <c r="A70" s="79" t="inlineStr">
        <is>
          <t>PL2066</t>
        </is>
      </c>
      <c r="B70" s="79" t="inlineStr">
        <is>
          <t>Devansh Kumar</t>
        </is>
      </c>
      <c r="C70" s="80" t="inlineStr">
        <is>
          <t>ECE</t>
        </is>
      </c>
      <c r="D70" s="80" t="n">
        <v>2026</v>
      </c>
      <c r="E70" s="81" t="n">
        <v>5.83</v>
      </c>
      <c r="F70" s="80" t="inlineStr">
        <is>
          <t>Not Placed</t>
        </is>
      </c>
      <c r="G70" s="79" t="n"/>
      <c r="H70" s="79" t="n"/>
      <c r="I70" s="79" t="n"/>
      <c r="J70" s="80" t="n"/>
      <c r="K70" s="84" t="n"/>
      <c r="L70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71">
      <c r="A71" s="79" t="inlineStr">
        <is>
          <t>PL2067</t>
        </is>
      </c>
      <c r="B71" s="79" t="inlineStr">
        <is>
          <t>Karan Bansal</t>
        </is>
      </c>
      <c r="C71" s="80" t="inlineStr">
        <is>
          <t>CSE</t>
        </is>
      </c>
      <c r="D71" s="80" t="n">
        <v>2025</v>
      </c>
      <c r="E71" s="81" t="n">
        <v>8.91</v>
      </c>
      <c r="F71" s="80" t="inlineStr">
        <is>
          <t>Placed</t>
        </is>
      </c>
      <c r="G71" s="79" t="inlineStr">
        <is>
          <t>Cognizant</t>
        </is>
      </c>
      <c r="H71" s="79" t="inlineStr">
        <is>
          <t>IT Services</t>
        </is>
      </c>
      <c r="I71" s="79" t="inlineStr">
        <is>
          <t>Analyst Programmer</t>
        </is>
      </c>
      <c r="J71" s="80" t="inlineStr">
        <is>
          <t>On-Campus</t>
        </is>
      </c>
      <c r="K71" s="84" t="n">
        <v>6.8</v>
      </c>
      <c r="L71" s="82">
        <f>IF(AND(COUNTIFS(tblPlacements[[#This Row],[Branch]],cPl_B,tblPlacements[[#This Row],[Year]],cPl_Y)=1,tblPlacements[[#This Row],[Status]]="Placed"),tblPlacements[[#This Row],[Package LPA]]+ROW()/1000000,"")</f>
        <v>6.800071</v>
      </c>
    </row>
    <row r="72">
      <c r="A72" s="79" t="inlineStr">
        <is>
          <t>PL2068</t>
        </is>
      </c>
      <c r="B72" s="79" t="inlineStr">
        <is>
          <t>Varun Singh</t>
        </is>
      </c>
      <c r="C72" s="80" t="inlineStr">
        <is>
          <t>CE</t>
        </is>
      </c>
      <c r="D72" s="80" t="n">
        <v>2024</v>
      </c>
      <c r="E72" s="81" t="n">
        <v>6.82</v>
      </c>
      <c r="F72" s="80" t="inlineStr">
        <is>
          <t>Not Placed</t>
        </is>
      </c>
      <c r="G72" s="79" t="n"/>
      <c r="H72" s="79" t="n"/>
      <c r="I72" s="79" t="n"/>
      <c r="J72" s="80" t="n"/>
      <c r="K72" s="84" t="n"/>
      <c r="L72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73">
      <c r="A73" s="79" t="inlineStr">
        <is>
          <t>PL2069</t>
        </is>
      </c>
      <c r="B73" s="79" t="inlineStr">
        <is>
          <t>Pankaj Kapoor</t>
        </is>
      </c>
      <c r="C73" s="80" t="inlineStr">
        <is>
          <t>IT</t>
        </is>
      </c>
      <c r="D73" s="80" t="n">
        <v>2026</v>
      </c>
      <c r="E73" s="81" t="n">
        <v>8.81</v>
      </c>
      <c r="F73" s="80" t="inlineStr">
        <is>
          <t>Placed</t>
        </is>
      </c>
      <c r="G73" s="79" t="inlineStr">
        <is>
          <t>EY</t>
        </is>
      </c>
      <c r="H73" s="79" t="inlineStr">
        <is>
          <t>Consulting &amp; Analytics</t>
        </is>
      </c>
      <c r="I73" s="79" t="inlineStr">
        <is>
          <t>Technology Analyst</t>
        </is>
      </c>
      <c r="J73" s="80" t="inlineStr">
        <is>
          <t>On-Campus</t>
        </is>
      </c>
      <c r="K73" s="84" t="n">
        <v>8</v>
      </c>
      <c r="L73" s="82">
        <f>IF(AND(COUNTIFS(tblPlacements[[#This Row],[Branch]],cPl_B,tblPlacements[[#This Row],[Year]],cPl_Y)=1,tblPlacements[[#This Row],[Status]]="Placed"),tblPlacements[[#This Row],[Package LPA]]+ROW()/1000000,"")</f>
        <v>8.000073</v>
      </c>
    </row>
    <row r="74">
      <c r="A74" s="79" t="inlineStr">
        <is>
          <t>PL2070</t>
        </is>
      </c>
      <c r="B74" s="79" t="inlineStr">
        <is>
          <t>Rajat Joshi</t>
        </is>
      </c>
      <c r="C74" s="80" t="inlineStr">
        <is>
          <t>ECE</t>
        </is>
      </c>
      <c r="D74" s="80" t="n">
        <v>2024</v>
      </c>
      <c r="E74" s="81" t="n">
        <v>7.62</v>
      </c>
      <c r="F74" s="80" t="inlineStr">
        <is>
          <t>Placed</t>
        </is>
      </c>
      <c r="G74" s="79" t="inlineStr">
        <is>
          <t>HCLTech</t>
        </is>
      </c>
      <c r="H74" s="79" t="inlineStr">
        <is>
          <t>IT Services</t>
        </is>
      </c>
      <c r="I74" s="79" t="inlineStr">
        <is>
          <t>Systems Engineer</t>
        </is>
      </c>
      <c r="J74" s="80" t="inlineStr">
        <is>
          <t>On-Campus</t>
        </is>
      </c>
      <c r="K74" s="84" t="n">
        <v>6</v>
      </c>
      <c r="L74" s="82">
        <f>IF(AND(COUNTIFS(tblPlacements[[#This Row],[Branch]],cPl_B,tblPlacements[[#This Row],[Year]],cPl_Y)=1,tblPlacements[[#This Row],[Status]]="Placed"),tblPlacements[[#This Row],[Package LPA]]+ROW()/1000000,"")</f>
        <v>6.000074</v>
      </c>
    </row>
    <row r="75">
      <c r="A75" s="79" t="inlineStr">
        <is>
          <t>PL2071</t>
        </is>
      </c>
      <c r="B75" s="79" t="inlineStr">
        <is>
          <t>Tanvi Chauhan</t>
        </is>
      </c>
      <c r="C75" s="80" t="inlineStr">
        <is>
          <t>CE</t>
        </is>
      </c>
      <c r="D75" s="80" t="n">
        <v>2026</v>
      </c>
      <c r="E75" s="81" t="n">
        <v>9.32</v>
      </c>
      <c r="F75" s="80" t="inlineStr">
        <is>
          <t>Placed</t>
        </is>
      </c>
      <c r="G75" s="79" t="inlineStr">
        <is>
          <t>L&amp;T</t>
        </is>
      </c>
      <c r="H75" s="79" t="inlineStr">
        <is>
          <t>Core Engineering</t>
        </is>
      </c>
      <c r="I75" s="79" t="inlineStr">
        <is>
          <t>Production Engineer</t>
        </is>
      </c>
      <c r="J75" s="80" t="inlineStr">
        <is>
          <t>On-Campus</t>
        </is>
      </c>
      <c r="K75" s="84" t="n">
        <v>7.5</v>
      </c>
      <c r="L75" s="82">
        <f>IF(AND(COUNTIFS(tblPlacements[[#This Row],[Branch]],cPl_B,tblPlacements[[#This Row],[Year]],cPl_Y)=1,tblPlacements[[#This Row],[Status]]="Placed"),tblPlacements[[#This Row],[Package LPA]]+ROW()/1000000,"")</f>
        <v>7.500075</v>
      </c>
    </row>
    <row r="76">
      <c r="A76" s="79" t="inlineStr">
        <is>
          <t>PL2072</t>
        </is>
      </c>
      <c r="B76" s="79" t="inlineStr">
        <is>
          <t>Anjali Das</t>
        </is>
      </c>
      <c r="C76" s="80" t="inlineStr">
        <is>
          <t>ME</t>
        </is>
      </c>
      <c r="D76" s="80" t="n">
        <v>2025</v>
      </c>
      <c r="E76" s="81" t="n">
        <v>7.08</v>
      </c>
      <c r="F76" s="80" t="inlineStr">
        <is>
          <t>Not Placed</t>
        </is>
      </c>
      <c r="G76" s="79" t="n"/>
      <c r="H76" s="79" t="n"/>
      <c r="I76" s="79" t="n"/>
      <c r="J76" s="80" t="n"/>
      <c r="K76" s="84" t="n"/>
      <c r="L76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77">
      <c r="A77" s="79" t="inlineStr">
        <is>
          <t>PL2073</t>
        </is>
      </c>
      <c r="B77" s="79" t="inlineStr">
        <is>
          <t>Ishaan Agarwal</t>
        </is>
      </c>
      <c r="C77" s="80" t="inlineStr">
        <is>
          <t>IT</t>
        </is>
      </c>
      <c r="D77" s="80" t="n">
        <v>2026</v>
      </c>
      <c r="E77" s="81" t="n">
        <v>6.34</v>
      </c>
      <c r="F77" s="80" t="inlineStr">
        <is>
          <t>Placed</t>
        </is>
      </c>
      <c r="G77" s="79" t="inlineStr">
        <is>
          <t>Cognizant</t>
        </is>
      </c>
      <c r="H77" s="79" t="inlineStr">
        <is>
          <t>IT Services</t>
        </is>
      </c>
      <c r="I77" s="79" t="inlineStr">
        <is>
          <t>Analyst Programmer</t>
        </is>
      </c>
      <c r="J77" s="80" t="inlineStr">
        <is>
          <t>On-Campus</t>
        </is>
      </c>
      <c r="K77" s="84" t="n">
        <v>4</v>
      </c>
      <c r="L77" s="82">
        <f>IF(AND(COUNTIFS(tblPlacements[[#This Row],[Branch]],cPl_B,tblPlacements[[#This Row],[Year]],cPl_Y)=1,tblPlacements[[#This Row],[Status]]="Placed"),tblPlacements[[#This Row],[Package LPA]]+ROW()/1000000,"")</f>
        <v>4.000077</v>
      </c>
    </row>
    <row r="78">
      <c r="A78" s="79" t="inlineStr">
        <is>
          <t>PL2074</t>
        </is>
      </c>
      <c r="B78" s="79" t="inlineStr">
        <is>
          <t>Jhanvi Jain</t>
        </is>
      </c>
      <c r="C78" s="80" t="inlineStr">
        <is>
          <t>IT</t>
        </is>
      </c>
      <c r="D78" s="80" t="n">
        <v>2026</v>
      </c>
      <c r="E78" s="81" t="n">
        <v>6.41</v>
      </c>
      <c r="F78" s="80" t="inlineStr">
        <is>
          <t>Placed</t>
        </is>
      </c>
      <c r="G78" s="79" t="inlineStr">
        <is>
          <t>Cognizant</t>
        </is>
      </c>
      <c r="H78" s="79" t="inlineStr">
        <is>
          <t>IT Services</t>
        </is>
      </c>
      <c r="I78" s="79" t="inlineStr">
        <is>
          <t>Associate Software Engineer</t>
        </is>
      </c>
      <c r="J78" s="80" t="inlineStr">
        <is>
          <t>On-Campus</t>
        </is>
      </c>
      <c r="K78" s="84" t="n">
        <v>4.5</v>
      </c>
      <c r="L78" s="82">
        <f>IF(AND(COUNTIFS(tblPlacements[[#This Row],[Branch]],cPl_B,tblPlacements[[#This Row],[Year]],cPl_Y)=1,tblPlacements[[#This Row],[Status]]="Placed"),tblPlacements[[#This Row],[Package LPA]]+ROW()/1000000,"")</f>
        <v>4.500078</v>
      </c>
    </row>
    <row r="79">
      <c r="A79" s="79" t="inlineStr">
        <is>
          <t>PL2075</t>
        </is>
      </c>
      <c r="B79" s="79" t="inlineStr">
        <is>
          <t>Siddharth Rawat</t>
        </is>
      </c>
      <c r="C79" s="80" t="inlineStr">
        <is>
          <t>ECE</t>
        </is>
      </c>
      <c r="D79" s="80" t="n">
        <v>2023</v>
      </c>
      <c r="E79" s="81" t="n">
        <v>7.11</v>
      </c>
      <c r="F79" s="80" t="inlineStr">
        <is>
          <t>Placed</t>
        </is>
      </c>
      <c r="G79" s="79" t="inlineStr">
        <is>
          <t>Samsung R&amp;D</t>
        </is>
      </c>
      <c r="H79" s="79" t="inlineStr">
        <is>
          <t>Electronics &amp; Semiconductor</t>
        </is>
      </c>
      <c r="I79" s="79" t="inlineStr">
        <is>
          <t>Verification Engineer</t>
        </is>
      </c>
      <c r="J79" s="80" t="inlineStr">
        <is>
          <t>On-Campus</t>
        </is>
      </c>
      <c r="K79" s="84" t="n">
        <v>10</v>
      </c>
      <c r="L79" s="82">
        <f>IF(AND(COUNTIFS(tblPlacements[[#This Row],[Branch]],cPl_B,tblPlacements[[#This Row],[Year]],cPl_Y)=1,tblPlacements[[#This Row],[Status]]="Placed"),tblPlacements[[#This Row],[Package LPA]]+ROW()/1000000,"")</f>
        <v>10.000079</v>
      </c>
    </row>
    <row r="80">
      <c r="A80" s="79" t="inlineStr">
        <is>
          <t>PL2076</t>
        </is>
      </c>
      <c r="B80" s="79" t="inlineStr">
        <is>
          <t>Bhavna Bhatt</t>
        </is>
      </c>
      <c r="C80" s="80" t="inlineStr">
        <is>
          <t>CE</t>
        </is>
      </c>
      <c r="D80" s="80" t="n">
        <v>2025</v>
      </c>
      <c r="E80" s="81" t="n">
        <v>7.72</v>
      </c>
      <c r="F80" s="80" t="inlineStr">
        <is>
          <t>Placed</t>
        </is>
      </c>
      <c r="G80" s="79" t="inlineStr">
        <is>
          <t>Ashok Leyland</t>
        </is>
      </c>
      <c r="H80" s="79" t="inlineStr">
        <is>
          <t>Core Engineering</t>
        </is>
      </c>
      <c r="I80" s="79" t="inlineStr">
        <is>
          <t>Production Engineer</t>
        </is>
      </c>
      <c r="J80" s="80" t="inlineStr">
        <is>
          <t>On-Campus</t>
        </is>
      </c>
      <c r="K80" s="84" t="n">
        <v>6.5</v>
      </c>
      <c r="L80" s="82">
        <f>IF(AND(COUNTIFS(tblPlacements[[#This Row],[Branch]],cPl_B,tblPlacements[[#This Row],[Year]],cPl_Y)=1,tblPlacements[[#This Row],[Status]]="Placed"),tblPlacements[[#This Row],[Package LPA]]+ROW()/1000000,"")</f>
        <v>6.50008</v>
      </c>
    </row>
    <row r="81">
      <c r="A81" s="79" t="inlineStr">
        <is>
          <t>PL2077</t>
        </is>
      </c>
      <c r="B81" s="79" t="inlineStr">
        <is>
          <t>Palak Banerjee</t>
        </is>
      </c>
      <c r="C81" s="80" t="inlineStr">
        <is>
          <t>IT</t>
        </is>
      </c>
      <c r="D81" s="80" t="n">
        <v>2023</v>
      </c>
      <c r="E81" s="81" t="n">
        <v>6.86</v>
      </c>
      <c r="F81" s="80" t="inlineStr">
        <is>
          <t>Not Placed</t>
        </is>
      </c>
      <c r="G81" s="79" t="n"/>
      <c r="H81" s="79" t="n"/>
      <c r="I81" s="79" t="n"/>
      <c r="J81" s="80" t="n"/>
      <c r="K81" s="84" t="n"/>
      <c r="L81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82">
      <c r="A82" s="79" t="inlineStr">
        <is>
          <t>PL2078</t>
        </is>
      </c>
      <c r="B82" s="79" t="inlineStr">
        <is>
          <t>Neha Agarwal</t>
        </is>
      </c>
      <c r="C82" s="80" t="inlineStr">
        <is>
          <t>IT</t>
        </is>
      </c>
      <c r="D82" s="80" t="n">
        <v>2024</v>
      </c>
      <c r="E82" s="81" t="n">
        <v>8.130000000000001</v>
      </c>
      <c r="F82" s="80" t="inlineStr">
        <is>
          <t>Not Placed</t>
        </is>
      </c>
      <c r="G82" s="79" t="n"/>
      <c r="H82" s="79" t="n"/>
      <c r="I82" s="79" t="n"/>
      <c r="J82" s="80" t="n"/>
      <c r="K82" s="84" t="n"/>
      <c r="L82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83">
      <c r="A83" s="79" t="inlineStr">
        <is>
          <t>PL2079</t>
        </is>
      </c>
      <c r="B83" s="79" t="inlineStr">
        <is>
          <t>Aarushi Ansari</t>
        </is>
      </c>
      <c r="C83" s="80" t="inlineStr">
        <is>
          <t>ECE</t>
        </is>
      </c>
      <c r="D83" s="80" t="n">
        <v>2025</v>
      </c>
      <c r="E83" s="81" t="n">
        <v>6.5</v>
      </c>
      <c r="F83" s="80" t="inlineStr">
        <is>
          <t>Not Placed</t>
        </is>
      </c>
      <c r="G83" s="79" t="n"/>
      <c r="H83" s="79" t="n"/>
      <c r="I83" s="79" t="n"/>
      <c r="J83" s="80" t="n"/>
      <c r="K83" s="84" t="n"/>
      <c r="L83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84">
      <c r="A84" s="79" t="inlineStr">
        <is>
          <t>PL2080</t>
        </is>
      </c>
      <c r="B84" s="79" t="inlineStr">
        <is>
          <t>Sakshi Verma</t>
        </is>
      </c>
      <c r="C84" s="80" t="inlineStr">
        <is>
          <t>CSE</t>
        </is>
      </c>
      <c r="D84" s="80" t="n">
        <v>2025</v>
      </c>
      <c r="E84" s="81" t="n">
        <v>8.01</v>
      </c>
      <c r="F84" s="80" t="inlineStr">
        <is>
          <t>Placed</t>
        </is>
      </c>
      <c r="G84" s="79" t="inlineStr">
        <is>
          <t>Amazon</t>
        </is>
      </c>
      <c r="H84" s="79" t="inlineStr">
        <is>
          <t>Product &amp; Startups</t>
        </is>
      </c>
      <c r="I84" s="79" t="inlineStr">
        <is>
          <t>Data Engineer</t>
        </is>
      </c>
      <c r="J84" s="80" t="inlineStr">
        <is>
          <t>On-Campus</t>
        </is>
      </c>
      <c r="K84" s="84" t="n">
        <v>37</v>
      </c>
      <c r="L84" s="82">
        <f>IF(AND(COUNTIFS(tblPlacements[[#This Row],[Branch]],cPl_B,tblPlacements[[#This Row],[Year]],cPl_Y)=1,tblPlacements[[#This Row],[Status]]="Placed"),tblPlacements[[#This Row],[Package LPA]]+ROW()/1000000,"")</f>
        <v>37.000084</v>
      </c>
    </row>
    <row r="85">
      <c r="A85" s="79" t="inlineStr">
        <is>
          <t>PL2081</t>
        </is>
      </c>
      <c r="B85" s="79" t="inlineStr">
        <is>
          <t>Rohan Chauhan</t>
        </is>
      </c>
      <c r="C85" s="80" t="inlineStr">
        <is>
          <t>ME</t>
        </is>
      </c>
      <c r="D85" s="80" t="n">
        <v>2024</v>
      </c>
      <c r="E85" s="81" t="n">
        <v>8.31</v>
      </c>
      <c r="F85" s="80" t="inlineStr">
        <is>
          <t>Placed</t>
        </is>
      </c>
      <c r="G85" s="79" t="inlineStr">
        <is>
          <t>L&amp;T</t>
        </is>
      </c>
      <c r="H85" s="79" t="inlineStr">
        <is>
          <t>Core Engineering</t>
        </is>
      </c>
      <c r="I85" s="79" t="inlineStr">
        <is>
          <t>Site Engineer</t>
        </is>
      </c>
      <c r="J85" s="80" t="inlineStr">
        <is>
          <t>Off-Campus</t>
        </is>
      </c>
      <c r="K85" s="84" t="n">
        <v>6.9</v>
      </c>
      <c r="L85" s="82">
        <f>IF(AND(COUNTIFS(tblPlacements[[#This Row],[Branch]],cPl_B,tblPlacements[[#This Row],[Year]],cPl_Y)=1,tblPlacements[[#This Row],[Status]]="Placed"),tblPlacements[[#This Row],[Package LPA]]+ROW()/1000000,"")</f>
        <v>6.900085</v>
      </c>
    </row>
    <row r="86">
      <c r="A86" s="79" t="inlineStr">
        <is>
          <t>PL2082</t>
        </is>
      </c>
      <c r="B86" s="79" t="inlineStr">
        <is>
          <t>Mayank Ansari</t>
        </is>
      </c>
      <c r="C86" s="80" t="inlineStr">
        <is>
          <t>ECE</t>
        </is>
      </c>
      <c r="D86" s="80" t="n">
        <v>2026</v>
      </c>
      <c r="E86" s="81" t="n">
        <v>7.9</v>
      </c>
      <c r="F86" s="80" t="inlineStr">
        <is>
          <t>Placed</t>
        </is>
      </c>
      <c r="G86" s="79" t="inlineStr">
        <is>
          <t>Intel</t>
        </is>
      </c>
      <c r="H86" s="79" t="inlineStr">
        <is>
          <t>Electronics &amp; Semiconductor</t>
        </is>
      </c>
      <c r="I86" s="79" t="inlineStr">
        <is>
          <t>Hardware Design Engineer</t>
        </is>
      </c>
      <c r="J86" s="80" t="inlineStr">
        <is>
          <t>Off-Campus</t>
        </is>
      </c>
      <c r="K86" s="84" t="n">
        <v>19.5</v>
      </c>
      <c r="L86" s="82">
        <f>IF(AND(COUNTIFS(tblPlacements[[#This Row],[Branch]],cPl_B,tblPlacements[[#This Row],[Year]],cPl_Y)=1,tblPlacements[[#This Row],[Status]]="Placed"),tblPlacements[[#This Row],[Package LPA]]+ROW()/1000000,"")</f>
        <v>19.500086</v>
      </c>
    </row>
    <row r="87">
      <c r="A87" s="79" t="inlineStr">
        <is>
          <t>PL2083</t>
        </is>
      </c>
      <c r="B87" s="79" t="inlineStr">
        <is>
          <t>Sakshi Yadav</t>
        </is>
      </c>
      <c r="C87" s="80" t="inlineStr">
        <is>
          <t>CE</t>
        </is>
      </c>
      <c r="D87" s="80" t="n">
        <v>2026</v>
      </c>
      <c r="E87" s="81" t="n">
        <v>7.74</v>
      </c>
      <c r="F87" s="80" t="inlineStr">
        <is>
          <t>Placed</t>
        </is>
      </c>
      <c r="G87" s="79" t="inlineStr">
        <is>
          <t>Tata Motors</t>
        </is>
      </c>
      <c r="H87" s="79" t="inlineStr">
        <is>
          <t>Core Engineering</t>
        </is>
      </c>
      <c r="I87" s="79" t="inlineStr">
        <is>
          <t>Site Engineer</t>
        </is>
      </c>
      <c r="J87" s="80" t="inlineStr">
        <is>
          <t>On-Campus</t>
        </is>
      </c>
      <c r="K87" s="84" t="n">
        <v>6.7</v>
      </c>
      <c r="L87" s="82">
        <f>IF(AND(COUNTIFS(tblPlacements[[#This Row],[Branch]],cPl_B,tblPlacements[[#This Row],[Year]],cPl_Y)=1,tblPlacements[[#This Row],[Status]]="Placed"),tblPlacements[[#This Row],[Package LPA]]+ROW()/1000000,"")</f>
        <v>6.700087</v>
      </c>
    </row>
    <row r="88">
      <c r="A88" s="79" t="inlineStr">
        <is>
          <t>PL2084</t>
        </is>
      </c>
      <c r="B88" s="79" t="inlineStr">
        <is>
          <t>Naveen Mehta</t>
        </is>
      </c>
      <c r="C88" s="80" t="inlineStr">
        <is>
          <t>CE</t>
        </is>
      </c>
      <c r="D88" s="80" t="n">
        <v>2023</v>
      </c>
      <c r="E88" s="81" t="n">
        <v>7.56</v>
      </c>
      <c r="F88" s="80" t="inlineStr">
        <is>
          <t>Not Placed</t>
        </is>
      </c>
      <c r="G88" s="79" t="n"/>
      <c r="H88" s="79" t="n"/>
      <c r="I88" s="79" t="n"/>
      <c r="J88" s="80" t="n"/>
      <c r="K88" s="84" t="n"/>
      <c r="L88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89">
      <c r="A89" s="79" t="inlineStr">
        <is>
          <t>PL2085</t>
        </is>
      </c>
      <c r="B89" s="79" t="inlineStr">
        <is>
          <t>Anjali Chatterjee</t>
        </is>
      </c>
      <c r="C89" s="80" t="inlineStr">
        <is>
          <t>CSE</t>
        </is>
      </c>
      <c r="D89" s="80" t="n">
        <v>2025</v>
      </c>
      <c r="E89" s="81" t="n">
        <v>7.73</v>
      </c>
      <c r="F89" s="80" t="inlineStr">
        <is>
          <t>Placed</t>
        </is>
      </c>
      <c r="G89" s="79" t="inlineStr">
        <is>
          <t>Tech Mahindra</t>
        </is>
      </c>
      <c r="H89" s="79" t="inlineStr">
        <is>
          <t>IT Services</t>
        </is>
      </c>
      <c r="I89" s="79" t="inlineStr">
        <is>
          <t>Associate Software Engineer</t>
        </is>
      </c>
      <c r="J89" s="80" t="inlineStr">
        <is>
          <t>On-Campus</t>
        </is>
      </c>
      <c r="K89" s="84" t="n">
        <v>4.4</v>
      </c>
      <c r="L89" s="82">
        <f>IF(AND(COUNTIFS(tblPlacements[[#This Row],[Branch]],cPl_B,tblPlacements[[#This Row],[Year]],cPl_Y)=1,tblPlacements[[#This Row],[Status]]="Placed"),tblPlacements[[#This Row],[Package LPA]]+ROW()/1000000,"")</f>
        <v>4.400089</v>
      </c>
    </row>
    <row r="90">
      <c r="A90" s="79" t="inlineStr">
        <is>
          <t>PL2086</t>
        </is>
      </c>
      <c r="B90" s="79" t="inlineStr">
        <is>
          <t>Diya Kumar</t>
        </is>
      </c>
      <c r="C90" s="80" t="inlineStr">
        <is>
          <t>CSE</t>
        </is>
      </c>
      <c r="D90" s="80" t="n">
        <v>2023</v>
      </c>
      <c r="E90" s="81" t="n">
        <v>7.73</v>
      </c>
      <c r="F90" s="80" t="inlineStr">
        <is>
          <t>Placed</t>
        </is>
      </c>
      <c r="G90" s="79" t="inlineStr">
        <is>
          <t>KPMG</t>
        </is>
      </c>
      <c r="H90" s="79" t="inlineStr">
        <is>
          <t>Consulting &amp; Analytics</t>
        </is>
      </c>
      <c r="I90" s="79" t="inlineStr">
        <is>
          <t>Associate Consultant</t>
        </is>
      </c>
      <c r="J90" s="80" t="inlineStr">
        <is>
          <t>Off-Campus</t>
        </is>
      </c>
      <c r="K90" s="84" t="n">
        <v>6.7</v>
      </c>
      <c r="L90" s="82">
        <f>IF(AND(COUNTIFS(tblPlacements[[#This Row],[Branch]],cPl_B,tblPlacements[[#This Row],[Year]],cPl_Y)=1,tblPlacements[[#This Row],[Status]]="Placed"),tblPlacements[[#This Row],[Package LPA]]+ROW()/1000000,"")</f>
        <v>6.70009</v>
      </c>
    </row>
    <row r="91">
      <c r="A91" s="79" t="inlineStr">
        <is>
          <t>PL2087</t>
        </is>
      </c>
      <c r="B91" s="79" t="inlineStr">
        <is>
          <t>Kritika Singh</t>
        </is>
      </c>
      <c r="C91" s="80" t="inlineStr">
        <is>
          <t>ME</t>
        </is>
      </c>
      <c r="D91" s="80" t="n">
        <v>2026</v>
      </c>
      <c r="E91" s="81" t="n">
        <v>8.17</v>
      </c>
      <c r="F91" s="80" t="inlineStr">
        <is>
          <t>Placed</t>
        </is>
      </c>
      <c r="G91" s="79" t="inlineStr">
        <is>
          <t>Siemens</t>
        </is>
      </c>
      <c r="H91" s="79" t="inlineStr">
        <is>
          <t>Core Engineering</t>
        </is>
      </c>
      <c r="I91" s="79" t="inlineStr">
        <is>
          <t>Graduate Engineer Trainee</t>
        </is>
      </c>
      <c r="J91" s="80" t="inlineStr">
        <is>
          <t>On-Campus</t>
        </is>
      </c>
      <c r="K91" s="84" t="n">
        <v>8.800000000000001</v>
      </c>
      <c r="L91" s="82">
        <f>IF(AND(COUNTIFS(tblPlacements[[#This Row],[Branch]],cPl_B,tblPlacements[[#This Row],[Year]],cPl_Y)=1,tblPlacements[[#This Row],[Status]]="Placed"),tblPlacements[[#This Row],[Package LPA]]+ROW()/1000000,"")</f>
        <v>8.800091</v>
      </c>
    </row>
    <row r="92">
      <c r="A92" s="79" t="inlineStr">
        <is>
          <t>PL2088</t>
        </is>
      </c>
      <c r="B92" s="79" t="inlineStr">
        <is>
          <t>Nikhil Malik</t>
        </is>
      </c>
      <c r="C92" s="80" t="inlineStr">
        <is>
          <t>ME</t>
        </is>
      </c>
      <c r="D92" s="80" t="n">
        <v>2026</v>
      </c>
      <c r="E92" s="81" t="n">
        <v>8.539999999999999</v>
      </c>
      <c r="F92" s="80" t="inlineStr">
        <is>
          <t>Not Placed</t>
        </is>
      </c>
      <c r="G92" s="79" t="n"/>
      <c r="H92" s="79" t="n"/>
      <c r="I92" s="79" t="n"/>
      <c r="J92" s="80" t="n"/>
      <c r="K92" s="84" t="n"/>
      <c r="L92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93">
      <c r="A93" s="79" t="inlineStr">
        <is>
          <t>PL2089</t>
        </is>
      </c>
      <c r="B93" s="79" t="inlineStr">
        <is>
          <t>Ayush Mishra</t>
        </is>
      </c>
      <c r="C93" s="80" t="inlineStr">
        <is>
          <t>ME</t>
        </is>
      </c>
      <c r="D93" s="80" t="n">
        <v>2025</v>
      </c>
      <c r="E93" s="81" t="n">
        <v>8.59</v>
      </c>
      <c r="F93" s="80" t="inlineStr">
        <is>
          <t>Placed</t>
        </is>
      </c>
      <c r="G93" s="79" t="inlineStr">
        <is>
          <t>Siemens</t>
        </is>
      </c>
      <c r="H93" s="79" t="inlineStr">
        <is>
          <t>Core Engineering</t>
        </is>
      </c>
      <c r="I93" s="79" t="inlineStr">
        <is>
          <t>Design Engineer</t>
        </is>
      </c>
      <c r="J93" s="80" t="inlineStr">
        <is>
          <t>Off-Campus</t>
        </is>
      </c>
      <c r="K93" s="84" t="n">
        <v>10.6</v>
      </c>
      <c r="L93" s="82">
        <f>IF(AND(COUNTIFS(tblPlacements[[#This Row],[Branch]],cPl_B,tblPlacements[[#This Row],[Year]],cPl_Y)=1,tblPlacements[[#This Row],[Status]]="Placed"),tblPlacements[[#This Row],[Package LPA]]+ROW()/1000000,"")</f>
        <v>10.600093</v>
      </c>
    </row>
    <row r="94">
      <c r="A94" s="79" t="inlineStr">
        <is>
          <t>PL2090</t>
        </is>
      </c>
      <c r="B94" s="79" t="inlineStr">
        <is>
          <t>Abhishek Iyer</t>
        </is>
      </c>
      <c r="C94" s="80" t="inlineStr">
        <is>
          <t>ME</t>
        </is>
      </c>
      <c r="D94" s="80" t="n">
        <v>2025</v>
      </c>
      <c r="E94" s="81" t="n">
        <v>7.76</v>
      </c>
      <c r="F94" s="80" t="inlineStr">
        <is>
          <t>Placed</t>
        </is>
      </c>
      <c r="G94" s="79" t="inlineStr">
        <is>
          <t>Mahindra &amp; Mahindra</t>
        </is>
      </c>
      <c r="H94" s="79" t="inlineStr">
        <is>
          <t>Core Engineering</t>
        </is>
      </c>
      <c r="I94" s="79" t="inlineStr">
        <is>
          <t>Design Engineer</t>
        </is>
      </c>
      <c r="J94" s="80" t="inlineStr">
        <is>
          <t>On-Campus</t>
        </is>
      </c>
      <c r="K94" s="84" t="n">
        <v>7.3</v>
      </c>
      <c r="L94" s="82">
        <f>IF(AND(COUNTIFS(tblPlacements[[#This Row],[Branch]],cPl_B,tblPlacements[[#This Row],[Year]],cPl_Y)=1,tblPlacements[[#This Row],[Status]]="Placed"),tblPlacements[[#This Row],[Package LPA]]+ROW()/1000000,"")</f>
        <v>7.300094</v>
      </c>
    </row>
    <row r="95">
      <c r="A95" s="79" t="inlineStr">
        <is>
          <t>PL2091</t>
        </is>
      </c>
      <c r="B95" s="79" t="inlineStr">
        <is>
          <t>Aditi Khan</t>
        </is>
      </c>
      <c r="C95" s="80" t="inlineStr">
        <is>
          <t>CSE</t>
        </is>
      </c>
      <c r="D95" s="80" t="n">
        <v>2026</v>
      </c>
      <c r="E95" s="81" t="n">
        <v>7.59</v>
      </c>
      <c r="F95" s="80" t="inlineStr">
        <is>
          <t>Placed</t>
        </is>
      </c>
      <c r="G95" s="79" t="inlineStr">
        <is>
          <t>KPMG</t>
        </is>
      </c>
      <c r="H95" s="79" t="inlineStr">
        <is>
          <t>Consulting &amp; Analytics</t>
        </is>
      </c>
      <c r="I95" s="79" t="inlineStr">
        <is>
          <t>Business Analyst</t>
        </is>
      </c>
      <c r="J95" s="80" t="inlineStr">
        <is>
          <t>On-Campus</t>
        </is>
      </c>
      <c r="K95" s="84" t="n">
        <v>7</v>
      </c>
      <c r="L95" s="82">
        <f>IF(AND(COUNTIFS(tblPlacements[[#This Row],[Branch]],cPl_B,tblPlacements[[#This Row],[Year]],cPl_Y)=1,tblPlacements[[#This Row],[Status]]="Placed"),tblPlacements[[#This Row],[Package LPA]]+ROW()/1000000,"")</f>
        <v>7.000095</v>
      </c>
    </row>
    <row r="96">
      <c r="A96" s="79" t="inlineStr">
        <is>
          <t>PL2092</t>
        </is>
      </c>
      <c r="B96" s="79" t="inlineStr">
        <is>
          <t>Swati Shah</t>
        </is>
      </c>
      <c r="C96" s="80" t="inlineStr">
        <is>
          <t>IT</t>
        </is>
      </c>
      <c r="D96" s="80" t="n">
        <v>2026</v>
      </c>
      <c r="E96" s="81" t="n">
        <v>7.8</v>
      </c>
      <c r="F96" s="80" t="inlineStr">
        <is>
          <t>Placed</t>
        </is>
      </c>
      <c r="G96" s="79" t="inlineStr">
        <is>
          <t>EY</t>
        </is>
      </c>
      <c r="H96" s="79" t="inlineStr">
        <is>
          <t>Consulting &amp; Analytics</t>
        </is>
      </c>
      <c r="I96" s="79" t="inlineStr">
        <is>
          <t>Business Analyst</t>
        </is>
      </c>
      <c r="J96" s="80" t="inlineStr">
        <is>
          <t>On-Campus</t>
        </is>
      </c>
      <c r="K96" s="84" t="n">
        <v>8</v>
      </c>
      <c r="L96" s="82">
        <f>IF(AND(COUNTIFS(tblPlacements[[#This Row],[Branch]],cPl_B,tblPlacements[[#This Row],[Year]],cPl_Y)=1,tblPlacements[[#This Row],[Status]]="Placed"),tblPlacements[[#This Row],[Package LPA]]+ROW()/1000000,"")</f>
        <v>8.000096</v>
      </c>
    </row>
    <row r="97">
      <c r="A97" s="79" t="inlineStr">
        <is>
          <t>PL2093</t>
        </is>
      </c>
      <c r="B97" s="79" t="inlineStr">
        <is>
          <t>Mayank Das</t>
        </is>
      </c>
      <c r="C97" s="80" t="inlineStr">
        <is>
          <t>CSE</t>
        </is>
      </c>
      <c r="D97" s="80" t="n">
        <v>2024</v>
      </c>
      <c r="E97" s="81" t="n">
        <v>8.25</v>
      </c>
      <c r="F97" s="80" t="inlineStr">
        <is>
          <t>Placed</t>
        </is>
      </c>
      <c r="G97" s="79" t="inlineStr">
        <is>
          <t>Accenture</t>
        </is>
      </c>
      <c r="H97" s="79" t="inlineStr">
        <is>
          <t>Consulting &amp; Analytics</t>
        </is>
      </c>
      <c r="I97" s="79" t="inlineStr">
        <is>
          <t>Associate Consultant</t>
        </is>
      </c>
      <c r="J97" s="80" t="inlineStr">
        <is>
          <t>On-Campus</t>
        </is>
      </c>
      <c r="K97" s="84" t="n">
        <v>7.4</v>
      </c>
      <c r="L97" s="82">
        <f>IF(AND(COUNTIFS(tblPlacements[[#This Row],[Branch]],cPl_B,tblPlacements[[#This Row],[Year]],cPl_Y)=1,tblPlacements[[#This Row],[Status]]="Placed"),tblPlacements[[#This Row],[Package LPA]]+ROW()/1000000,"")</f>
        <v>7.400097</v>
      </c>
    </row>
    <row r="98">
      <c r="A98" s="79" t="inlineStr">
        <is>
          <t>PL2094</t>
        </is>
      </c>
      <c r="B98" s="79" t="inlineStr">
        <is>
          <t>Neha Malik</t>
        </is>
      </c>
      <c r="C98" s="80" t="inlineStr">
        <is>
          <t>CSE</t>
        </is>
      </c>
      <c r="D98" s="80" t="n">
        <v>2025</v>
      </c>
      <c r="E98" s="81" t="n">
        <v>7.25</v>
      </c>
      <c r="F98" s="80" t="inlineStr">
        <is>
          <t>Placed</t>
        </is>
      </c>
      <c r="G98" s="79" t="inlineStr">
        <is>
          <t>Tech Mahindra</t>
        </is>
      </c>
      <c r="H98" s="79" t="inlineStr">
        <is>
          <t>IT Services</t>
        </is>
      </c>
      <c r="I98" s="79" t="inlineStr">
        <is>
          <t>Systems Engineer</t>
        </is>
      </c>
      <c r="J98" s="80" t="inlineStr">
        <is>
          <t>On-Campus</t>
        </is>
      </c>
      <c r="K98" s="84" t="n">
        <v>4.5</v>
      </c>
      <c r="L98" s="82">
        <f>IF(AND(COUNTIFS(tblPlacements[[#This Row],[Branch]],cPl_B,tblPlacements[[#This Row],[Year]],cPl_Y)=1,tblPlacements[[#This Row],[Status]]="Placed"),tblPlacements[[#This Row],[Package LPA]]+ROW()/1000000,"")</f>
        <v>4.500098</v>
      </c>
    </row>
    <row r="99">
      <c r="A99" s="79" t="inlineStr">
        <is>
          <t>PL2095</t>
        </is>
      </c>
      <c r="B99" s="79" t="inlineStr">
        <is>
          <t>Ishaan Bhatt</t>
        </is>
      </c>
      <c r="C99" s="80" t="inlineStr">
        <is>
          <t>IT</t>
        </is>
      </c>
      <c r="D99" s="80" t="n">
        <v>2023</v>
      </c>
      <c r="E99" s="81" t="n">
        <v>8.24</v>
      </c>
      <c r="F99" s="80" t="inlineStr">
        <is>
          <t>Placed</t>
        </is>
      </c>
      <c r="G99" s="79" t="inlineStr">
        <is>
          <t>Flipkart</t>
        </is>
      </c>
      <c r="H99" s="79" t="inlineStr">
        <is>
          <t>Product &amp; Startups</t>
        </is>
      </c>
      <c r="I99" s="79" t="inlineStr">
        <is>
          <t>Software Development Engineer</t>
        </is>
      </c>
      <c r="J99" s="80" t="inlineStr">
        <is>
          <t>On-Campus</t>
        </is>
      </c>
      <c r="K99" s="84" t="n">
        <v>24.7</v>
      </c>
      <c r="L99" s="82">
        <f>IF(AND(COUNTIFS(tblPlacements[[#This Row],[Branch]],cPl_B,tblPlacements[[#This Row],[Year]],cPl_Y)=1,tblPlacements[[#This Row],[Status]]="Placed"),tblPlacements[[#This Row],[Package LPA]]+ROW()/1000000,"")</f>
        <v>24.700099</v>
      </c>
    </row>
    <row r="100">
      <c r="A100" s="79" t="inlineStr">
        <is>
          <t>PL2096</t>
        </is>
      </c>
      <c r="B100" s="79" t="inlineStr">
        <is>
          <t>Komal Pandey</t>
        </is>
      </c>
      <c r="C100" s="80" t="inlineStr">
        <is>
          <t>CSE</t>
        </is>
      </c>
      <c r="D100" s="80" t="n">
        <v>2025</v>
      </c>
      <c r="E100" s="81" t="n">
        <v>8.18</v>
      </c>
      <c r="F100" s="80" t="inlineStr">
        <is>
          <t>Placed</t>
        </is>
      </c>
      <c r="G100" s="79" t="inlineStr">
        <is>
          <t>Adobe</t>
        </is>
      </c>
      <c r="H100" s="79" t="inlineStr">
        <is>
          <t>Product &amp; Startups</t>
        </is>
      </c>
      <c r="I100" s="79" t="inlineStr">
        <is>
          <t>Software Development Engineer</t>
        </is>
      </c>
      <c r="J100" s="80" t="inlineStr">
        <is>
          <t>On-Campus</t>
        </is>
      </c>
      <c r="K100" s="84" t="n">
        <v>35.7</v>
      </c>
      <c r="L100" s="82">
        <f>IF(AND(COUNTIFS(tblPlacements[[#This Row],[Branch]],cPl_B,tblPlacements[[#This Row],[Year]],cPl_Y)=1,tblPlacements[[#This Row],[Status]]="Placed"),tblPlacements[[#This Row],[Package LPA]]+ROW()/1000000,"")</f>
        <v>35.7001</v>
      </c>
    </row>
    <row r="101">
      <c r="A101" s="79" t="inlineStr">
        <is>
          <t>PL2097</t>
        </is>
      </c>
      <c r="B101" s="79" t="inlineStr">
        <is>
          <t>Rahul Siddiqui</t>
        </is>
      </c>
      <c r="C101" s="80" t="inlineStr">
        <is>
          <t>CSE</t>
        </is>
      </c>
      <c r="D101" s="80" t="n">
        <v>2025</v>
      </c>
      <c r="E101" s="81" t="n">
        <v>8.550000000000001</v>
      </c>
      <c r="F101" s="80" t="inlineStr">
        <is>
          <t>Placed</t>
        </is>
      </c>
      <c r="G101" s="79" t="inlineStr">
        <is>
          <t>HCLTech</t>
        </is>
      </c>
      <c r="H101" s="79" t="inlineStr">
        <is>
          <t>IT Services</t>
        </is>
      </c>
      <c r="I101" s="79" t="inlineStr">
        <is>
          <t>Systems Engineer</t>
        </is>
      </c>
      <c r="J101" s="80" t="inlineStr">
        <is>
          <t>On-Campus</t>
        </is>
      </c>
      <c r="K101" s="84" t="n">
        <v>5.9</v>
      </c>
      <c r="L101" s="82">
        <f>IF(AND(COUNTIFS(tblPlacements[[#This Row],[Branch]],cPl_B,tblPlacements[[#This Row],[Year]],cPl_Y)=1,tblPlacements[[#This Row],[Status]]="Placed"),tblPlacements[[#This Row],[Package LPA]]+ROW()/1000000,"")</f>
        <v>5.900101</v>
      </c>
    </row>
    <row r="102">
      <c r="A102" s="79" t="inlineStr">
        <is>
          <t>PL2098</t>
        </is>
      </c>
      <c r="B102" s="79" t="inlineStr">
        <is>
          <t>Vaishnavi Bhatt</t>
        </is>
      </c>
      <c r="C102" s="80" t="inlineStr">
        <is>
          <t>CSE</t>
        </is>
      </c>
      <c r="D102" s="80" t="n">
        <v>2025</v>
      </c>
      <c r="E102" s="81" t="n">
        <v>6.93</v>
      </c>
      <c r="F102" s="80" t="inlineStr">
        <is>
          <t>Placed</t>
        </is>
      </c>
      <c r="G102" s="79" t="inlineStr">
        <is>
          <t>Amazon</t>
        </is>
      </c>
      <c r="H102" s="79" t="inlineStr">
        <is>
          <t>Product &amp; Startups</t>
        </is>
      </c>
      <c r="I102" s="79" t="inlineStr">
        <is>
          <t>Associate Product Engineer</t>
        </is>
      </c>
      <c r="J102" s="80" t="inlineStr">
        <is>
          <t>On-Campus</t>
        </is>
      </c>
      <c r="K102" s="84" t="n">
        <v>23.1</v>
      </c>
      <c r="L102" s="82">
        <f>IF(AND(COUNTIFS(tblPlacements[[#This Row],[Branch]],cPl_B,tblPlacements[[#This Row],[Year]],cPl_Y)=1,tblPlacements[[#This Row],[Status]]="Placed"),tblPlacements[[#This Row],[Package LPA]]+ROW()/1000000,"")</f>
        <v>23.100102</v>
      </c>
    </row>
    <row r="103">
      <c r="A103" s="79" t="inlineStr">
        <is>
          <t>PL2099</t>
        </is>
      </c>
      <c r="B103" s="79" t="inlineStr">
        <is>
          <t>Meera Mishra</t>
        </is>
      </c>
      <c r="C103" s="80" t="inlineStr">
        <is>
          <t>IT</t>
        </is>
      </c>
      <c r="D103" s="80" t="n">
        <v>2025</v>
      </c>
      <c r="E103" s="81" t="n">
        <v>7.48</v>
      </c>
      <c r="F103" s="80" t="inlineStr">
        <is>
          <t>Not Placed</t>
        </is>
      </c>
      <c r="G103" s="79" t="n"/>
      <c r="H103" s="79" t="n"/>
      <c r="I103" s="79" t="n"/>
      <c r="J103" s="80" t="n"/>
      <c r="K103" s="84" t="n"/>
      <c r="L103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04">
      <c r="A104" s="79" t="inlineStr">
        <is>
          <t>PL2100</t>
        </is>
      </c>
      <c r="B104" s="79" t="inlineStr">
        <is>
          <t>Shreya Chaudhary</t>
        </is>
      </c>
      <c r="C104" s="80" t="inlineStr">
        <is>
          <t>ECE</t>
        </is>
      </c>
      <c r="D104" s="80" t="n">
        <v>2025</v>
      </c>
      <c r="E104" s="81" t="n">
        <v>7.99</v>
      </c>
      <c r="F104" s="80" t="inlineStr">
        <is>
          <t>Placed</t>
        </is>
      </c>
      <c r="G104" s="79" t="inlineStr">
        <is>
          <t>Samsung R&amp;D</t>
        </is>
      </c>
      <c r="H104" s="79" t="inlineStr">
        <is>
          <t>Electronics &amp; Semiconductor</t>
        </is>
      </c>
      <c r="I104" s="79" t="inlineStr">
        <is>
          <t>Embedded Software Engineer</t>
        </is>
      </c>
      <c r="J104" s="80" t="inlineStr">
        <is>
          <t>On-Campus</t>
        </is>
      </c>
      <c r="K104" s="84" t="n">
        <v>17.3</v>
      </c>
      <c r="L104" s="82">
        <f>IF(AND(COUNTIFS(tblPlacements[[#This Row],[Branch]],cPl_B,tblPlacements[[#This Row],[Year]],cPl_Y)=1,tblPlacements[[#This Row],[Status]]="Placed"),tblPlacements[[#This Row],[Package LPA]]+ROW()/1000000,"")</f>
        <v>17.300104</v>
      </c>
    </row>
    <row r="105">
      <c r="A105" s="79" t="inlineStr">
        <is>
          <t>PL2101</t>
        </is>
      </c>
      <c r="B105" s="79" t="inlineStr">
        <is>
          <t>Mayank Mehta</t>
        </is>
      </c>
      <c r="C105" s="80" t="inlineStr">
        <is>
          <t>ME</t>
        </is>
      </c>
      <c r="D105" s="80" t="n">
        <v>2026</v>
      </c>
      <c r="E105" s="81" t="n">
        <v>7.34</v>
      </c>
      <c r="F105" s="80" t="inlineStr">
        <is>
          <t>Not Placed</t>
        </is>
      </c>
      <c r="G105" s="79" t="n"/>
      <c r="H105" s="79" t="n"/>
      <c r="I105" s="79" t="n"/>
      <c r="J105" s="80" t="n"/>
      <c r="K105" s="84" t="n"/>
      <c r="L105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06">
      <c r="A106" s="79" t="inlineStr">
        <is>
          <t>PL2102</t>
        </is>
      </c>
      <c r="B106" s="79" t="inlineStr">
        <is>
          <t>Shreya Singh</t>
        </is>
      </c>
      <c r="C106" s="80" t="inlineStr">
        <is>
          <t>ECE</t>
        </is>
      </c>
      <c r="D106" s="80" t="n">
        <v>2023</v>
      </c>
      <c r="E106" s="81" t="n">
        <v>7.38</v>
      </c>
      <c r="F106" s="80" t="inlineStr">
        <is>
          <t>Not Placed</t>
        </is>
      </c>
      <c r="G106" s="79" t="n"/>
      <c r="H106" s="79" t="n"/>
      <c r="I106" s="79" t="n"/>
      <c r="J106" s="80" t="n"/>
      <c r="K106" s="84" t="n"/>
      <c r="L106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07">
      <c r="A107" s="79" t="inlineStr">
        <is>
          <t>PL2103</t>
        </is>
      </c>
      <c r="B107" s="79" t="inlineStr">
        <is>
          <t>Kavya Kumar</t>
        </is>
      </c>
      <c r="C107" s="80" t="inlineStr">
        <is>
          <t>CSE</t>
        </is>
      </c>
      <c r="D107" s="80" t="n">
        <v>2023</v>
      </c>
      <c r="E107" s="81" t="n">
        <v>8.220000000000001</v>
      </c>
      <c r="F107" s="80" t="inlineStr">
        <is>
          <t>Placed</t>
        </is>
      </c>
      <c r="G107" s="79" t="inlineStr">
        <is>
          <t>Microsoft</t>
        </is>
      </c>
      <c r="H107" s="79" t="inlineStr">
        <is>
          <t>Product &amp; Startups</t>
        </is>
      </c>
      <c r="I107" s="79" t="inlineStr">
        <is>
          <t>Data Engineer</t>
        </is>
      </c>
      <c r="J107" s="80" t="inlineStr">
        <is>
          <t>On-Campus</t>
        </is>
      </c>
      <c r="K107" s="84" t="n">
        <v>42.2</v>
      </c>
      <c r="L107" s="82">
        <f>IF(AND(COUNTIFS(tblPlacements[[#This Row],[Branch]],cPl_B,tblPlacements[[#This Row],[Year]],cPl_Y)=1,tblPlacements[[#This Row],[Status]]="Placed"),tblPlacements[[#This Row],[Package LPA]]+ROW()/1000000,"")</f>
        <v>42.200107</v>
      </c>
    </row>
    <row r="108">
      <c r="A108" s="79" t="inlineStr">
        <is>
          <t>PL2104</t>
        </is>
      </c>
      <c r="B108" s="79" t="inlineStr">
        <is>
          <t>Ishaan Sharma</t>
        </is>
      </c>
      <c r="C108" s="80" t="inlineStr">
        <is>
          <t>ME</t>
        </is>
      </c>
      <c r="D108" s="80" t="n">
        <v>2024</v>
      </c>
      <c r="E108" s="81" t="n">
        <v>7.61</v>
      </c>
      <c r="F108" s="80" t="inlineStr">
        <is>
          <t>Placed</t>
        </is>
      </c>
      <c r="G108" s="79" t="inlineStr">
        <is>
          <t>Tata Motors</t>
        </is>
      </c>
      <c r="H108" s="79" t="inlineStr">
        <is>
          <t>Core Engineering</t>
        </is>
      </c>
      <c r="I108" s="79" t="inlineStr">
        <is>
          <t>Production Engineer</t>
        </is>
      </c>
      <c r="J108" s="80" t="inlineStr">
        <is>
          <t>On-Campus</t>
        </is>
      </c>
      <c r="K108" s="84" t="n">
        <v>6.8</v>
      </c>
      <c r="L108" s="82">
        <f>IF(AND(COUNTIFS(tblPlacements[[#This Row],[Branch]],cPl_B,tblPlacements[[#This Row],[Year]],cPl_Y)=1,tblPlacements[[#This Row],[Status]]="Placed"),tblPlacements[[#This Row],[Package LPA]]+ROW()/1000000,"")</f>
        <v>6.800108</v>
      </c>
    </row>
    <row r="109">
      <c r="A109" s="79" t="inlineStr">
        <is>
          <t>PL2105</t>
        </is>
      </c>
      <c r="B109" s="79" t="inlineStr">
        <is>
          <t>Mayank Goel</t>
        </is>
      </c>
      <c r="C109" s="80" t="inlineStr">
        <is>
          <t>IT</t>
        </is>
      </c>
      <c r="D109" s="80" t="n">
        <v>2025</v>
      </c>
      <c r="E109" s="81" t="n">
        <v>8.81</v>
      </c>
      <c r="F109" s="80" t="inlineStr">
        <is>
          <t>Placed</t>
        </is>
      </c>
      <c r="G109" s="79" t="inlineStr">
        <is>
          <t>KPMG</t>
        </is>
      </c>
      <c r="H109" s="79" t="inlineStr">
        <is>
          <t>Consulting &amp; Analytics</t>
        </is>
      </c>
      <c r="I109" s="79" t="inlineStr">
        <is>
          <t>Technology Analyst</t>
        </is>
      </c>
      <c r="J109" s="80" t="inlineStr">
        <is>
          <t>On-Campus</t>
        </is>
      </c>
      <c r="K109" s="84" t="n">
        <v>7.7</v>
      </c>
      <c r="L109" s="82">
        <f>IF(AND(COUNTIFS(tblPlacements[[#This Row],[Branch]],cPl_B,tblPlacements[[#This Row],[Year]],cPl_Y)=1,tblPlacements[[#This Row],[Status]]="Placed"),tblPlacements[[#This Row],[Package LPA]]+ROW()/1000000,"")</f>
        <v>7.700109</v>
      </c>
    </row>
    <row r="110">
      <c r="A110" s="79" t="inlineStr">
        <is>
          <t>PL2106</t>
        </is>
      </c>
      <c r="B110" s="79" t="inlineStr">
        <is>
          <t>Lakshay Goel</t>
        </is>
      </c>
      <c r="C110" s="80" t="inlineStr">
        <is>
          <t>CSE</t>
        </is>
      </c>
      <c r="D110" s="80" t="n">
        <v>2025</v>
      </c>
      <c r="E110" s="81" t="n">
        <v>7.52</v>
      </c>
      <c r="F110" s="80" t="inlineStr">
        <is>
          <t>Not Placed</t>
        </is>
      </c>
      <c r="G110" s="79" t="n"/>
      <c r="H110" s="79" t="n"/>
      <c r="I110" s="79" t="n"/>
      <c r="J110" s="80" t="n"/>
      <c r="K110" s="84" t="n"/>
      <c r="L110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11">
      <c r="A111" s="79" t="inlineStr">
        <is>
          <t>PL2107</t>
        </is>
      </c>
      <c r="B111" s="79" t="inlineStr">
        <is>
          <t>Kunal Siddiqui</t>
        </is>
      </c>
      <c r="C111" s="80" t="inlineStr">
        <is>
          <t>CE</t>
        </is>
      </c>
      <c r="D111" s="80" t="n">
        <v>2026</v>
      </c>
      <c r="E111" s="81" t="n">
        <v>8.51</v>
      </c>
      <c r="F111" s="80" t="inlineStr">
        <is>
          <t>Placed</t>
        </is>
      </c>
      <c r="G111" s="79" t="inlineStr">
        <is>
          <t>Siemens</t>
        </is>
      </c>
      <c r="H111" s="79" t="inlineStr">
        <is>
          <t>Core Engineering</t>
        </is>
      </c>
      <c r="I111" s="79" t="inlineStr">
        <is>
          <t>Graduate Engineer Trainee</t>
        </is>
      </c>
      <c r="J111" s="80" t="inlineStr">
        <is>
          <t>Pool Campus</t>
        </is>
      </c>
      <c r="K111" s="84" t="n">
        <v>10.1</v>
      </c>
      <c r="L111" s="82">
        <f>IF(AND(COUNTIFS(tblPlacements[[#This Row],[Branch]],cPl_B,tblPlacements[[#This Row],[Year]],cPl_Y)=1,tblPlacements[[#This Row],[Status]]="Placed"),tblPlacements[[#This Row],[Package LPA]]+ROW()/1000000,"")</f>
        <v>10.100111</v>
      </c>
    </row>
    <row r="112">
      <c r="A112" s="79" t="inlineStr">
        <is>
          <t>PL2108</t>
        </is>
      </c>
      <c r="B112" s="79" t="inlineStr">
        <is>
          <t>Saurabh Goel</t>
        </is>
      </c>
      <c r="C112" s="80" t="inlineStr">
        <is>
          <t>ME</t>
        </is>
      </c>
      <c r="D112" s="80" t="n">
        <v>2026</v>
      </c>
      <c r="E112" s="81" t="n">
        <v>7.05</v>
      </c>
      <c r="F112" s="80" t="inlineStr">
        <is>
          <t>Placed</t>
        </is>
      </c>
      <c r="G112" s="79" t="inlineStr">
        <is>
          <t>L&amp;T</t>
        </is>
      </c>
      <c r="H112" s="79" t="inlineStr">
        <is>
          <t>Core Engineering</t>
        </is>
      </c>
      <c r="I112" s="79" t="inlineStr">
        <is>
          <t>Graduate Engineer Trainee</t>
        </is>
      </c>
      <c r="J112" s="80" t="inlineStr">
        <is>
          <t>On-Campus</t>
        </is>
      </c>
      <c r="K112" s="84" t="n">
        <v>4.8</v>
      </c>
      <c r="L112" s="82">
        <f>IF(AND(COUNTIFS(tblPlacements[[#This Row],[Branch]],cPl_B,tblPlacements[[#This Row],[Year]],cPl_Y)=1,tblPlacements[[#This Row],[Status]]="Placed"),tblPlacements[[#This Row],[Package LPA]]+ROW()/1000000,"")</f>
        <v>4.800112</v>
      </c>
    </row>
    <row r="113">
      <c r="A113" s="79" t="inlineStr">
        <is>
          <t>PL2109</t>
        </is>
      </c>
      <c r="B113" s="79" t="inlineStr">
        <is>
          <t>Shubham Patel</t>
        </is>
      </c>
      <c r="C113" s="80" t="inlineStr">
        <is>
          <t>ECE</t>
        </is>
      </c>
      <c r="D113" s="80" t="n">
        <v>2023</v>
      </c>
      <c r="E113" s="81" t="n">
        <v>7.23</v>
      </c>
      <c r="F113" s="80" t="inlineStr">
        <is>
          <t>Placed</t>
        </is>
      </c>
      <c r="G113" s="79" t="inlineStr">
        <is>
          <t>Capgemini</t>
        </is>
      </c>
      <c r="H113" s="79" t="inlineStr">
        <is>
          <t>IT Services</t>
        </is>
      </c>
      <c r="I113" s="79" t="inlineStr">
        <is>
          <t>Systems Engineer</t>
        </is>
      </c>
      <c r="J113" s="80" t="inlineStr">
        <is>
          <t>On-Campus</t>
        </is>
      </c>
      <c r="K113" s="84" t="n">
        <v>5.2</v>
      </c>
      <c r="L113" s="82">
        <f>IF(AND(COUNTIFS(tblPlacements[[#This Row],[Branch]],cPl_B,tblPlacements[[#This Row],[Year]],cPl_Y)=1,tblPlacements[[#This Row],[Status]]="Placed"),tblPlacements[[#This Row],[Package LPA]]+ROW()/1000000,"")</f>
        <v>5.200113</v>
      </c>
    </row>
    <row r="114">
      <c r="A114" s="79" t="inlineStr">
        <is>
          <t>PL2110</t>
        </is>
      </c>
      <c r="B114" s="79" t="inlineStr">
        <is>
          <t>Divya Shah</t>
        </is>
      </c>
      <c r="C114" s="80" t="inlineStr">
        <is>
          <t>ECE</t>
        </is>
      </c>
      <c r="D114" s="80" t="n">
        <v>2024</v>
      </c>
      <c r="E114" s="81" t="n">
        <v>5.8</v>
      </c>
      <c r="F114" s="80" t="inlineStr">
        <is>
          <t>Not Placed</t>
        </is>
      </c>
      <c r="G114" s="79" t="n"/>
      <c r="H114" s="79" t="n"/>
      <c r="I114" s="79" t="n"/>
      <c r="J114" s="80" t="n"/>
      <c r="K114" s="84" t="n"/>
      <c r="L114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15">
      <c r="A115" s="79" t="inlineStr">
        <is>
          <t>PL2111</t>
        </is>
      </c>
      <c r="B115" s="79" t="inlineStr">
        <is>
          <t>Manish Garg</t>
        </is>
      </c>
      <c r="C115" s="80" t="inlineStr">
        <is>
          <t>CSE</t>
        </is>
      </c>
      <c r="D115" s="80" t="n">
        <v>2023</v>
      </c>
      <c r="E115" s="81" t="n">
        <v>8.029999999999999</v>
      </c>
      <c r="F115" s="80" t="inlineStr">
        <is>
          <t>Placed</t>
        </is>
      </c>
      <c r="G115" s="79" t="inlineStr">
        <is>
          <t>TCS</t>
        </is>
      </c>
      <c r="H115" s="79" t="inlineStr">
        <is>
          <t>IT Services</t>
        </is>
      </c>
      <c r="I115" s="79" t="inlineStr">
        <is>
          <t>Analyst Programmer</t>
        </is>
      </c>
      <c r="J115" s="80" t="inlineStr">
        <is>
          <t>On-Campus</t>
        </is>
      </c>
      <c r="K115" s="84" t="n">
        <v>6</v>
      </c>
      <c r="L115" s="82">
        <f>IF(AND(COUNTIFS(tblPlacements[[#This Row],[Branch]],cPl_B,tblPlacements[[#This Row],[Year]],cPl_Y)=1,tblPlacements[[#This Row],[Status]]="Placed"),tblPlacements[[#This Row],[Package LPA]]+ROW()/1000000,"")</f>
        <v>6.000115</v>
      </c>
    </row>
    <row r="116">
      <c r="A116" s="79" t="inlineStr">
        <is>
          <t>PL2112</t>
        </is>
      </c>
      <c r="B116" s="79" t="inlineStr">
        <is>
          <t>Anjali Patel</t>
        </is>
      </c>
      <c r="C116" s="80" t="inlineStr">
        <is>
          <t>ECE</t>
        </is>
      </c>
      <c r="D116" s="80" t="n">
        <v>2024</v>
      </c>
      <c r="E116" s="81" t="n">
        <v>7.66</v>
      </c>
      <c r="F116" s="80" t="inlineStr">
        <is>
          <t>Placed</t>
        </is>
      </c>
      <c r="G116" s="79" t="inlineStr">
        <is>
          <t>HCLTech</t>
        </is>
      </c>
      <c r="H116" s="79" t="inlineStr">
        <is>
          <t>IT Services</t>
        </is>
      </c>
      <c r="I116" s="79" t="inlineStr">
        <is>
          <t>Analyst Programmer</t>
        </is>
      </c>
      <c r="J116" s="80" t="inlineStr">
        <is>
          <t>On-Campus</t>
        </is>
      </c>
      <c r="K116" s="84" t="n">
        <v>6.4</v>
      </c>
      <c r="L116" s="82">
        <f>IF(AND(COUNTIFS(tblPlacements[[#This Row],[Branch]],cPl_B,tblPlacements[[#This Row],[Year]],cPl_Y)=1,tblPlacements[[#This Row],[Status]]="Placed"),tblPlacements[[#This Row],[Package LPA]]+ROW()/1000000,"")</f>
        <v>6.400116</v>
      </c>
    </row>
    <row r="117">
      <c r="A117" s="79" t="inlineStr">
        <is>
          <t>PL2113</t>
        </is>
      </c>
      <c r="B117" s="79" t="inlineStr">
        <is>
          <t>Tarun Rastogi</t>
        </is>
      </c>
      <c r="C117" s="80" t="inlineStr">
        <is>
          <t>CSE</t>
        </is>
      </c>
      <c r="D117" s="80" t="n">
        <v>2024</v>
      </c>
      <c r="E117" s="81" t="n">
        <v>7.89</v>
      </c>
      <c r="F117" s="80" t="inlineStr">
        <is>
          <t>Placed</t>
        </is>
      </c>
      <c r="G117" s="79" t="inlineStr">
        <is>
          <t>Tech Mahindra</t>
        </is>
      </c>
      <c r="H117" s="79" t="inlineStr">
        <is>
          <t>IT Services</t>
        </is>
      </c>
      <c r="I117" s="79" t="inlineStr">
        <is>
          <t>Graduate Engineer Trainee</t>
        </is>
      </c>
      <c r="J117" s="80" t="inlineStr">
        <is>
          <t>On-Campus</t>
        </is>
      </c>
      <c r="K117" s="84" t="n">
        <v>5.3</v>
      </c>
      <c r="L117" s="82">
        <f>IF(AND(COUNTIFS(tblPlacements[[#This Row],[Branch]],cPl_B,tblPlacements[[#This Row],[Year]],cPl_Y)=1,tblPlacements[[#This Row],[Status]]="Placed"),tblPlacements[[#This Row],[Package LPA]]+ROW()/1000000,"")</f>
        <v>5.300117</v>
      </c>
    </row>
    <row r="118">
      <c r="A118" s="79" t="inlineStr">
        <is>
          <t>PL2114</t>
        </is>
      </c>
      <c r="B118" s="79" t="inlineStr">
        <is>
          <t>Parth Mittal</t>
        </is>
      </c>
      <c r="C118" s="80" t="inlineStr">
        <is>
          <t>CSE</t>
        </is>
      </c>
      <c r="D118" s="80" t="n">
        <v>2025</v>
      </c>
      <c r="E118" s="81" t="n">
        <v>8.449999999999999</v>
      </c>
      <c r="F118" s="80" t="inlineStr">
        <is>
          <t>Placed</t>
        </is>
      </c>
      <c r="G118" s="79" t="inlineStr">
        <is>
          <t>Capgemini</t>
        </is>
      </c>
      <c r="H118" s="79" t="inlineStr">
        <is>
          <t>IT Services</t>
        </is>
      </c>
      <c r="I118" s="79" t="inlineStr">
        <is>
          <t>Associate Software Engineer</t>
        </is>
      </c>
      <c r="J118" s="80" t="inlineStr">
        <is>
          <t>On-Campus</t>
        </is>
      </c>
      <c r="K118" s="84" t="n">
        <v>5.7</v>
      </c>
      <c r="L118" s="82">
        <f>IF(AND(COUNTIFS(tblPlacements[[#This Row],[Branch]],cPl_B,tblPlacements[[#This Row],[Year]],cPl_Y)=1,tblPlacements[[#This Row],[Status]]="Placed"),tblPlacements[[#This Row],[Package LPA]]+ROW()/1000000,"")</f>
        <v>5.700118</v>
      </c>
    </row>
    <row r="119">
      <c r="A119" s="79" t="inlineStr">
        <is>
          <t>PL2115</t>
        </is>
      </c>
      <c r="B119" s="79" t="inlineStr">
        <is>
          <t>Priya Srivastava</t>
        </is>
      </c>
      <c r="C119" s="80" t="inlineStr">
        <is>
          <t>ECE</t>
        </is>
      </c>
      <c r="D119" s="80" t="n">
        <v>2023</v>
      </c>
      <c r="E119" s="81" t="n">
        <v>8.09</v>
      </c>
      <c r="F119" s="80" t="inlineStr">
        <is>
          <t>Not Placed</t>
        </is>
      </c>
      <c r="G119" s="79" t="n"/>
      <c r="H119" s="79" t="n"/>
      <c r="I119" s="79" t="n"/>
      <c r="J119" s="80" t="n"/>
      <c r="K119" s="84" t="n"/>
      <c r="L119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20">
      <c r="A120" s="79" t="inlineStr">
        <is>
          <t>PL2116</t>
        </is>
      </c>
      <c r="B120" s="79" t="inlineStr">
        <is>
          <t>Vivaan Chatterjee</t>
        </is>
      </c>
      <c r="C120" s="80" t="inlineStr">
        <is>
          <t>IT</t>
        </is>
      </c>
      <c r="D120" s="80" t="n">
        <v>2025</v>
      </c>
      <c r="E120" s="81" t="n">
        <v>7.3</v>
      </c>
      <c r="F120" s="80" t="inlineStr">
        <is>
          <t>Placed</t>
        </is>
      </c>
      <c r="G120" s="79" t="inlineStr">
        <is>
          <t>Tech Mahindra</t>
        </is>
      </c>
      <c r="H120" s="79" t="inlineStr">
        <is>
          <t>IT Services</t>
        </is>
      </c>
      <c r="I120" s="79" t="inlineStr">
        <is>
          <t>Analyst Programmer</t>
        </is>
      </c>
      <c r="J120" s="80" t="inlineStr">
        <is>
          <t>On-Campus</t>
        </is>
      </c>
      <c r="K120" s="84" t="n">
        <v>4</v>
      </c>
      <c r="L120" s="82">
        <f>IF(AND(COUNTIFS(tblPlacements[[#This Row],[Branch]],cPl_B,tblPlacements[[#This Row],[Year]],cPl_Y)=1,tblPlacements[[#This Row],[Status]]="Placed"),tblPlacements[[#This Row],[Package LPA]]+ROW()/1000000,"")</f>
        <v>4.00012</v>
      </c>
    </row>
    <row r="121">
      <c r="A121" s="79" t="inlineStr">
        <is>
          <t>PL2117</t>
        </is>
      </c>
      <c r="B121" s="79" t="inlineStr">
        <is>
          <t>Ayush Chauhan</t>
        </is>
      </c>
      <c r="C121" s="80" t="inlineStr">
        <is>
          <t>IT</t>
        </is>
      </c>
      <c r="D121" s="80" t="n">
        <v>2025</v>
      </c>
      <c r="E121" s="81" t="n">
        <v>8.449999999999999</v>
      </c>
      <c r="F121" s="80" t="inlineStr">
        <is>
          <t>Placed</t>
        </is>
      </c>
      <c r="G121" s="79" t="inlineStr">
        <is>
          <t>Deloitte</t>
        </is>
      </c>
      <c r="H121" s="79" t="inlineStr">
        <is>
          <t>Consulting &amp; Analytics</t>
        </is>
      </c>
      <c r="I121" s="79" t="inlineStr">
        <is>
          <t>Business Analyst</t>
        </is>
      </c>
      <c r="J121" s="80" t="inlineStr">
        <is>
          <t>On-Campus</t>
        </is>
      </c>
      <c r="K121" s="84" t="n">
        <v>10.2</v>
      </c>
      <c r="L121" s="82">
        <f>IF(AND(COUNTIFS(tblPlacements[[#This Row],[Branch]],cPl_B,tblPlacements[[#This Row],[Year]],cPl_Y)=1,tblPlacements[[#This Row],[Status]]="Placed"),tblPlacements[[#This Row],[Package LPA]]+ROW()/1000000,"")</f>
        <v>10.200121</v>
      </c>
    </row>
    <row r="122">
      <c r="A122" s="79" t="inlineStr">
        <is>
          <t>PL2118</t>
        </is>
      </c>
      <c r="B122" s="79" t="inlineStr">
        <is>
          <t>Tanvi Chaudhary</t>
        </is>
      </c>
      <c r="C122" s="80" t="inlineStr">
        <is>
          <t>IT</t>
        </is>
      </c>
      <c r="D122" s="80" t="n">
        <v>2025</v>
      </c>
      <c r="E122" s="81" t="n">
        <v>7.94</v>
      </c>
      <c r="F122" s="80" t="inlineStr">
        <is>
          <t>Placed</t>
        </is>
      </c>
      <c r="G122" s="79" t="inlineStr">
        <is>
          <t>Wipro</t>
        </is>
      </c>
      <c r="H122" s="79" t="inlineStr">
        <is>
          <t>IT Services</t>
        </is>
      </c>
      <c r="I122" s="79" t="inlineStr">
        <is>
          <t>Analyst Programmer</t>
        </is>
      </c>
      <c r="J122" s="80" t="inlineStr">
        <is>
          <t>Pool Campus</t>
        </is>
      </c>
      <c r="K122" s="84" t="n">
        <v>4.9</v>
      </c>
      <c r="L122" s="82">
        <f>IF(AND(COUNTIFS(tblPlacements[[#This Row],[Branch]],cPl_B,tblPlacements[[#This Row],[Year]],cPl_Y)=1,tblPlacements[[#This Row],[Status]]="Placed"),tblPlacements[[#This Row],[Package LPA]]+ROW()/1000000,"")</f>
        <v>4.900122</v>
      </c>
    </row>
    <row r="123">
      <c r="A123" s="79" t="inlineStr">
        <is>
          <t>PL2119</t>
        </is>
      </c>
      <c r="B123" s="79" t="inlineStr">
        <is>
          <t>Arjun Tyagi</t>
        </is>
      </c>
      <c r="C123" s="80" t="inlineStr">
        <is>
          <t>CSE</t>
        </is>
      </c>
      <c r="D123" s="80" t="n">
        <v>2024</v>
      </c>
      <c r="E123" s="81" t="n">
        <v>6.59</v>
      </c>
      <c r="F123" s="80" t="inlineStr">
        <is>
          <t>Placed</t>
        </is>
      </c>
      <c r="G123" s="79" t="inlineStr">
        <is>
          <t>HCLTech</t>
        </is>
      </c>
      <c r="H123" s="79" t="inlineStr">
        <is>
          <t>IT Services</t>
        </is>
      </c>
      <c r="I123" s="79" t="inlineStr">
        <is>
          <t>Graduate Engineer Trainee</t>
        </is>
      </c>
      <c r="J123" s="80" t="inlineStr">
        <is>
          <t>On-Campus</t>
        </is>
      </c>
      <c r="K123" s="84" t="n">
        <v>4</v>
      </c>
      <c r="L123" s="82">
        <f>IF(AND(COUNTIFS(tblPlacements[[#This Row],[Branch]],cPl_B,tblPlacements[[#This Row],[Year]],cPl_Y)=1,tblPlacements[[#This Row],[Status]]="Placed"),tblPlacements[[#This Row],[Package LPA]]+ROW()/1000000,"")</f>
        <v>4.000123</v>
      </c>
    </row>
    <row r="124">
      <c r="A124" s="79" t="inlineStr">
        <is>
          <t>PL2120</t>
        </is>
      </c>
      <c r="B124" s="79" t="inlineStr">
        <is>
          <t>Khushi Shah</t>
        </is>
      </c>
      <c r="C124" s="80" t="inlineStr">
        <is>
          <t>ME</t>
        </is>
      </c>
      <c r="D124" s="80" t="n">
        <v>2024</v>
      </c>
      <c r="E124" s="81" t="n">
        <v>6.51</v>
      </c>
      <c r="F124" s="80" t="inlineStr">
        <is>
          <t>Placed</t>
        </is>
      </c>
      <c r="G124" s="79" t="inlineStr">
        <is>
          <t>Bosch</t>
        </is>
      </c>
      <c r="H124" s="79" t="inlineStr">
        <is>
          <t>Core Engineering</t>
        </is>
      </c>
      <c r="I124" s="79" t="inlineStr">
        <is>
          <t>Design Engineer</t>
        </is>
      </c>
      <c r="J124" s="80" t="inlineStr">
        <is>
          <t>On-Campus</t>
        </is>
      </c>
      <c r="K124" s="84" t="n">
        <v>7.2</v>
      </c>
      <c r="L124" s="82">
        <f>IF(AND(COUNTIFS(tblPlacements[[#This Row],[Branch]],cPl_B,tblPlacements[[#This Row],[Year]],cPl_Y)=1,tblPlacements[[#This Row],[Status]]="Placed"),tblPlacements[[#This Row],[Package LPA]]+ROW()/1000000,"")</f>
        <v>7.200124</v>
      </c>
    </row>
    <row r="125">
      <c r="A125" s="79" t="inlineStr">
        <is>
          <t>PL2121</t>
        </is>
      </c>
      <c r="B125" s="79" t="inlineStr">
        <is>
          <t>Devansh Joshi</t>
        </is>
      </c>
      <c r="C125" s="80" t="inlineStr">
        <is>
          <t>ECE</t>
        </is>
      </c>
      <c r="D125" s="80" t="n">
        <v>2024</v>
      </c>
      <c r="E125" s="81" t="n">
        <v>7.61</v>
      </c>
      <c r="F125" s="80" t="inlineStr">
        <is>
          <t>Placed</t>
        </is>
      </c>
      <c r="G125" s="79" t="inlineStr">
        <is>
          <t>TCS</t>
        </is>
      </c>
      <c r="H125" s="79" t="inlineStr">
        <is>
          <t>IT Services</t>
        </is>
      </c>
      <c r="I125" s="79" t="inlineStr">
        <is>
          <t>Graduate Engineer Trainee</t>
        </is>
      </c>
      <c r="J125" s="80" t="inlineStr">
        <is>
          <t>On-Campus</t>
        </is>
      </c>
      <c r="K125" s="84" t="n">
        <v>4.8</v>
      </c>
      <c r="L125" s="82">
        <f>IF(AND(COUNTIFS(tblPlacements[[#This Row],[Branch]],cPl_B,tblPlacements[[#This Row],[Year]],cPl_Y)=1,tblPlacements[[#This Row],[Status]]="Placed"),tblPlacements[[#This Row],[Package LPA]]+ROW()/1000000,"")</f>
        <v>4.800125</v>
      </c>
    </row>
    <row r="126">
      <c r="A126" s="79" t="inlineStr">
        <is>
          <t>PL2122</t>
        </is>
      </c>
      <c r="B126" s="79" t="inlineStr">
        <is>
          <t>Karan Tiwari</t>
        </is>
      </c>
      <c r="C126" s="80" t="inlineStr">
        <is>
          <t>CSE</t>
        </is>
      </c>
      <c r="D126" s="80" t="n">
        <v>2024</v>
      </c>
      <c r="E126" s="81" t="n">
        <v>7.85</v>
      </c>
      <c r="F126" s="80" t="inlineStr">
        <is>
          <t>Placed</t>
        </is>
      </c>
      <c r="G126" s="79" t="inlineStr">
        <is>
          <t>Cognizant</t>
        </is>
      </c>
      <c r="H126" s="79" t="inlineStr">
        <is>
          <t>IT Services</t>
        </is>
      </c>
      <c r="I126" s="79" t="inlineStr">
        <is>
          <t>Associate Software Engineer</t>
        </is>
      </c>
      <c r="J126" s="80" t="inlineStr">
        <is>
          <t>On-Campus</t>
        </is>
      </c>
      <c r="K126" s="84" t="n">
        <v>5.2</v>
      </c>
      <c r="L126" s="82">
        <f>IF(AND(COUNTIFS(tblPlacements[[#This Row],[Branch]],cPl_B,tblPlacements[[#This Row],[Year]],cPl_Y)=1,tblPlacements[[#This Row],[Status]]="Placed"),tblPlacements[[#This Row],[Package LPA]]+ROW()/1000000,"")</f>
        <v>5.200126</v>
      </c>
    </row>
    <row r="127">
      <c r="A127" s="79" t="inlineStr">
        <is>
          <t>PL2123</t>
        </is>
      </c>
      <c r="B127" s="79" t="inlineStr">
        <is>
          <t>Isha Iyer</t>
        </is>
      </c>
      <c r="C127" s="80" t="inlineStr">
        <is>
          <t>CE</t>
        </is>
      </c>
      <c r="D127" s="80" t="n">
        <v>2025</v>
      </c>
      <c r="E127" s="81" t="n">
        <v>8.17</v>
      </c>
      <c r="F127" s="80" t="inlineStr">
        <is>
          <t>Placed</t>
        </is>
      </c>
      <c r="G127" s="79" t="inlineStr">
        <is>
          <t>Bosch</t>
        </is>
      </c>
      <c r="H127" s="79" t="inlineStr">
        <is>
          <t>Core Engineering</t>
        </is>
      </c>
      <c r="I127" s="79" t="inlineStr">
        <is>
          <t>Design Engineer</t>
        </is>
      </c>
      <c r="J127" s="80" t="inlineStr">
        <is>
          <t>On-Campus</t>
        </is>
      </c>
      <c r="K127" s="84" t="n">
        <v>7.6</v>
      </c>
      <c r="L127" s="82">
        <f>IF(AND(COUNTIFS(tblPlacements[[#This Row],[Branch]],cPl_B,tblPlacements[[#This Row],[Year]],cPl_Y)=1,tblPlacements[[#This Row],[Status]]="Placed"),tblPlacements[[#This Row],[Package LPA]]+ROW()/1000000,"")</f>
        <v>7.600127</v>
      </c>
    </row>
    <row r="128">
      <c r="A128" s="79" t="inlineStr">
        <is>
          <t>PL2124</t>
        </is>
      </c>
      <c r="B128" s="79" t="inlineStr">
        <is>
          <t>Varun Thakur</t>
        </is>
      </c>
      <c r="C128" s="80" t="inlineStr">
        <is>
          <t>ECE</t>
        </is>
      </c>
      <c r="D128" s="80" t="n">
        <v>2025</v>
      </c>
      <c r="E128" s="81" t="n">
        <v>7.4</v>
      </c>
      <c r="F128" s="80" t="inlineStr">
        <is>
          <t>Not Placed</t>
        </is>
      </c>
      <c r="G128" s="79" t="n"/>
      <c r="H128" s="79" t="n"/>
      <c r="I128" s="79" t="n"/>
      <c r="J128" s="80" t="n"/>
      <c r="K128" s="84" t="n"/>
      <c r="L128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29">
      <c r="A129" s="79" t="inlineStr">
        <is>
          <t>PL2125</t>
        </is>
      </c>
      <c r="B129" s="79" t="inlineStr">
        <is>
          <t>Utkarsh Bansal</t>
        </is>
      </c>
      <c r="C129" s="80" t="inlineStr">
        <is>
          <t>ECE</t>
        </is>
      </c>
      <c r="D129" s="80" t="n">
        <v>2024</v>
      </c>
      <c r="E129" s="81" t="n">
        <v>8.58</v>
      </c>
      <c r="F129" s="80" t="inlineStr">
        <is>
          <t>Placed</t>
        </is>
      </c>
      <c r="G129" s="79" t="inlineStr">
        <is>
          <t>TCS</t>
        </is>
      </c>
      <c r="H129" s="79" t="inlineStr">
        <is>
          <t>IT Services</t>
        </is>
      </c>
      <c r="I129" s="79" t="inlineStr">
        <is>
          <t>Associate Software Engineer</t>
        </is>
      </c>
      <c r="J129" s="80" t="inlineStr">
        <is>
          <t>Pool Campus</t>
        </is>
      </c>
      <c r="K129" s="84" t="n">
        <v>5.2</v>
      </c>
      <c r="L129" s="82">
        <f>IF(AND(COUNTIFS(tblPlacements[[#This Row],[Branch]],cPl_B,tblPlacements[[#This Row],[Year]],cPl_Y)=1,tblPlacements[[#This Row],[Status]]="Placed"),tblPlacements[[#This Row],[Package LPA]]+ROW()/1000000,"")</f>
        <v>5.200129</v>
      </c>
    </row>
    <row r="130">
      <c r="A130" s="79" t="inlineStr">
        <is>
          <t>PL2126</t>
        </is>
      </c>
      <c r="B130" s="79" t="inlineStr">
        <is>
          <t>Sneha Bhatt</t>
        </is>
      </c>
      <c r="C130" s="80" t="inlineStr">
        <is>
          <t>CSE</t>
        </is>
      </c>
      <c r="D130" s="80" t="n">
        <v>2026</v>
      </c>
      <c r="E130" s="81" t="n">
        <v>7.57</v>
      </c>
      <c r="F130" s="80" t="inlineStr">
        <is>
          <t>Placed</t>
        </is>
      </c>
      <c r="G130" s="79" t="inlineStr">
        <is>
          <t>Wipro</t>
        </is>
      </c>
      <c r="H130" s="79" t="inlineStr">
        <is>
          <t>IT Services</t>
        </is>
      </c>
      <c r="I130" s="79" t="inlineStr">
        <is>
          <t>Analyst Programmer</t>
        </is>
      </c>
      <c r="J130" s="80" t="inlineStr">
        <is>
          <t>On-Campus</t>
        </is>
      </c>
      <c r="K130" s="84" t="n">
        <v>4.5</v>
      </c>
      <c r="L130" s="82">
        <f>IF(AND(COUNTIFS(tblPlacements[[#This Row],[Branch]],cPl_B,tblPlacements[[#This Row],[Year]],cPl_Y)=1,tblPlacements[[#This Row],[Status]]="Placed"),tblPlacements[[#This Row],[Package LPA]]+ROW()/1000000,"")</f>
        <v>4.50013</v>
      </c>
    </row>
    <row r="131">
      <c r="A131" s="79" t="inlineStr">
        <is>
          <t>PL2127</t>
        </is>
      </c>
      <c r="B131" s="79" t="inlineStr">
        <is>
          <t>Anjali Mishra</t>
        </is>
      </c>
      <c r="C131" s="80" t="inlineStr">
        <is>
          <t>CE</t>
        </is>
      </c>
      <c r="D131" s="80" t="n">
        <v>2023</v>
      </c>
      <c r="E131" s="81" t="n">
        <v>7.02</v>
      </c>
      <c r="F131" s="80" t="inlineStr">
        <is>
          <t>Not Placed</t>
        </is>
      </c>
      <c r="G131" s="79" t="n"/>
      <c r="H131" s="79" t="n"/>
      <c r="I131" s="79" t="n"/>
      <c r="J131" s="80" t="n"/>
      <c r="K131" s="84" t="n"/>
      <c r="L131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32">
      <c r="A132" s="79" t="inlineStr">
        <is>
          <t>PL2128</t>
        </is>
      </c>
      <c r="B132" s="79" t="inlineStr">
        <is>
          <t>Aditya Yadav</t>
        </is>
      </c>
      <c r="C132" s="80" t="inlineStr">
        <is>
          <t>IT</t>
        </is>
      </c>
      <c r="D132" s="80" t="n">
        <v>2025</v>
      </c>
      <c r="E132" s="81" t="n">
        <v>5.8</v>
      </c>
      <c r="F132" s="80" t="inlineStr">
        <is>
          <t>Placed</t>
        </is>
      </c>
      <c r="G132" s="79" t="inlineStr">
        <is>
          <t>Cognizant</t>
        </is>
      </c>
      <c r="H132" s="79" t="inlineStr">
        <is>
          <t>IT Services</t>
        </is>
      </c>
      <c r="I132" s="79" t="inlineStr">
        <is>
          <t>Systems Engineer</t>
        </is>
      </c>
      <c r="J132" s="80" t="inlineStr">
        <is>
          <t>On-Campus</t>
        </is>
      </c>
      <c r="K132" s="84" t="n">
        <v>4</v>
      </c>
      <c r="L132" s="82">
        <f>IF(AND(COUNTIFS(tblPlacements[[#This Row],[Branch]],cPl_B,tblPlacements[[#This Row],[Year]],cPl_Y)=1,tblPlacements[[#This Row],[Status]]="Placed"),tblPlacements[[#This Row],[Package LPA]]+ROW()/1000000,"")</f>
        <v>4.000132</v>
      </c>
    </row>
    <row r="133">
      <c r="A133" s="79" t="inlineStr">
        <is>
          <t>PL2129</t>
        </is>
      </c>
      <c r="B133" s="79" t="inlineStr">
        <is>
          <t>Bhavna Jain</t>
        </is>
      </c>
      <c r="C133" s="80" t="inlineStr">
        <is>
          <t>ME</t>
        </is>
      </c>
      <c r="D133" s="80" t="n">
        <v>2025</v>
      </c>
      <c r="E133" s="81" t="n">
        <v>6.93</v>
      </c>
      <c r="F133" s="80" t="inlineStr">
        <is>
          <t>Not Placed</t>
        </is>
      </c>
      <c r="G133" s="79" t="n"/>
      <c r="H133" s="79" t="n"/>
      <c r="I133" s="79" t="n"/>
      <c r="J133" s="80" t="n"/>
      <c r="K133" s="84" t="n"/>
      <c r="L133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34">
      <c r="A134" s="79" t="inlineStr">
        <is>
          <t>PL2130</t>
        </is>
      </c>
      <c r="B134" s="79" t="inlineStr">
        <is>
          <t>Harsh Tiwari</t>
        </is>
      </c>
      <c r="C134" s="80" t="inlineStr">
        <is>
          <t>CSE</t>
        </is>
      </c>
      <c r="D134" s="80" t="n">
        <v>2026</v>
      </c>
      <c r="E134" s="81" t="n">
        <v>6.52</v>
      </c>
      <c r="F134" s="80" t="inlineStr">
        <is>
          <t>Placed</t>
        </is>
      </c>
      <c r="G134" s="79" t="inlineStr">
        <is>
          <t>HCLTech</t>
        </is>
      </c>
      <c r="H134" s="79" t="inlineStr">
        <is>
          <t>IT Services</t>
        </is>
      </c>
      <c r="I134" s="79" t="inlineStr">
        <is>
          <t>Analyst Programmer</t>
        </is>
      </c>
      <c r="J134" s="80" t="inlineStr">
        <is>
          <t>On-Campus</t>
        </is>
      </c>
      <c r="K134" s="84" t="n">
        <v>4.9</v>
      </c>
      <c r="L134" s="82">
        <f>IF(AND(COUNTIFS(tblPlacements[[#This Row],[Branch]],cPl_B,tblPlacements[[#This Row],[Year]],cPl_Y)=1,tblPlacements[[#This Row],[Status]]="Placed"),tblPlacements[[#This Row],[Package LPA]]+ROW()/1000000,"")</f>
        <v>4.900134</v>
      </c>
    </row>
    <row r="135">
      <c r="A135" s="79" t="inlineStr">
        <is>
          <t>PL2131</t>
        </is>
      </c>
      <c r="B135" s="79" t="inlineStr">
        <is>
          <t>Sakshi Siddiqui</t>
        </is>
      </c>
      <c r="C135" s="80" t="inlineStr">
        <is>
          <t>ECE</t>
        </is>
      </c>
      <c r="D135" s="80" t="n">
        <v>2026</v>
      </c>
      <c r="E135" s="81" t="n">
        <v>6.86</v>
      </c>
      <c r="F135" s="80" t="inlineStr">
        <is>
          <t>Placed</t>
        </is>
      </c>
      <c r="G135" s="79" t="inlineStr">
        <is>
          <t>Intel</t>
        </is>
      </c>
      <c r="H135" s="79" t="inlineStr">
        <is>
          <t>Electronics &amp; Semiconductor</t>
        </is>
      </c>
      <c r="I135" s="79" t="inlineStr">
        <is>
          <t>Embedded Software Engineer</t>
        </is>
      </c>
      <c r="J135" s="80" t="inlineStr">
        <is>
          <t>On-Campus</t>
        </is>
      </c>
      <c r="K135" s="84" t="n">
        <v>16.8</v>
      </c>
      <c r="L135" s="82">
        <f>IF(AND(COUNTIFS(tblPlacements[[#This Row],[Branch]],cPl_B,tblPlacements[[#This Row],[Year]],cPl_Y)=1,tblPlacements[[#This Row],[Status]]="Placed"),tblPlacements[[#This Row],[Package LPA]]+ROW()/1000000,"")</f>
        <v>16.800135</v>
      </c>
    </row>
    <row r="136">
      <c r="A136" s="79" t="inlineStr">
        <is>
          <t>PL2132</t>
        </is>
      </c>
      <c r="B136" s="79" t="inlineStr">
        <is>
          <t>Riya Bhatt</t>
        </is>
      </c>
      <c r="C136" s="80" t="inlineStr">
        <is>
          <t>CSE</t>
        </is>
      </c>
      <c r="D136" s="80" t="n">
        <v>2025</v>
      </c>
      <c r="E136" s="81" t="n">
        <v>7.04</v>
      </c>
      <c r="F136" s="80" t="inlineStr">
        <is>
          <t>Placed</t>
        </is>
      </c>
      <c r="G136" s="79" t="inlineStr">
        <is>
          <t>Wipro</t>
        </is>
      </c>
      <c r="H136" s="79" t="inlineStr">
        <is>
          <t>IT Services</t>
        </is>
      </c>
      <c r="I136" s="79" t="inlineStr">
        <is>
          <t>Analyst Programmer</t>
        </is>
      </c>
      <c r="J136" s="80" t="inlineStr">
        <is>
          <t>On-Campus</t>
        </is>
      </c>
      <c r="K136" s="84" t="n">
        <v>4.9</v>
      </c>
      <c r="L136" s="82">
        <f>IF(AND(COUNTIFS(tblPlacements[[#This Row],[Branch]],cPl_B,tblPlacements[[#This Row],[Year]],cPl_Y)=1,tblPlacements[[#This Row],[Status]]="Placed"),tblPlacements[[#This Row],[Package LPA]]+ROW()/1000000,"")</f>
        <v>4.900136</v>
      </c>
    </row>
    <row r="137">
      <c r="A137" s="79" t="inlineStr">
        <is>
          <t>PL2133</t>
        </is>
      </c>
      <c r="B137" s="79" t="inlineStr">
        <is>
          <t>Aditya Ansari</t>
        </is>
      </c>
      <c r="C137" s="80" t="inlineStr">
        <is>
          <t>IT</t>
        </is>
      </c>
      <c r="D137" s="80" t="n">
        <v>2026</v>
      </c>
      <c r="E137" s="81" t="n">
        <v>6.34</v>
      </c>
      <c r="F137" s="80" t="inlineStr">
        <is>
          <t>Placed</t>
        </is>
      </c>
      <c r="G137" s="79" t="inlineStr">
        <is>
          <t>Infosys</t>
        </is>
      </c>
      <c r="H137" s="79" t="inlineStr">
        <is>
          <t>IT Services</t>
        </is>
      </c>
      <c r="I137" s="79" t="inlineStr">
        <is>
          <t>Graduate Engineer Trainee</t>
        </is>
      </c>
      <c r="J137" s="80" t="inlineStr">
        <is>
          <t>On-Campus</t>
        </is>
      </c>
      <c r="K137" s="84" t="n">
        <v>3.7</v>
      </c>
      <c r="L137" s="82">
        <f>IF(AND(COUNTIFS(tblPlacements[[#This Row],[Branch]],cPl_B,tblPlacements[[#This Row],[Year]],cPl_Y)=1,tblPlacements[[#This Row],[Status]]="Placed"),tblPlacements[[#This Row],[Package LPA]]+ROW()/1000000,"")</f>
        <v>3.700137</v>
      </c>
    </row>
    <row r="138">
      <c r="A138" s="79" t="inlineStr">
        <is>
          <t>PL2134</t>
        </is>
      </c>
      <c r="B138" s="79" t="inlineStr">
        <is>
          <t>Isha Saxena</t>
        </is>
      </c>
      <c r="C138" s="80" t="inlineStr">
        <is>
          <t>IT</t>
        </is>
      </c>
      <c r="D138" s="80" t="n">
        <v>2023</v>
      </c>
      <c r="E138" s="81" t="n">
        <v>7.42</v>
      </c>
      <c r="F138" s="80" t="inlineStr">
        <is>
          <t>Placed</t>
        </is>
      </c>
      <c r="G138" s="79" t="inlineStr">
        <is>
          <t>Wipro</t>
        </is>
      </c>
      <c r="H138" s="79" t="inlineStr">
        <is>
          <t>IT Services</t>
        </is>
      </c>
      <c r="I138" s="79" t="inlineStr">
        <is>
          <t>Systems Engineer</t>
        </is>
      </c>
      <c r="J138" s="80" t="inlineStr">
        <is>
          <t>On-Campus</t>
        </is>
      </c>
      <c r="K138" s="84" t="n">
        <v>4.8</v>
      </c>
      <c r="L138" s="82">
        <f>IF(AND(COUNTIFS(tblPlacements[[#This Row],[Branch]],cPl_B,tblPlacements[[#This Row],[Year]],cPl_Y)=1,tblPlacements[[#This Row],[Status]]="Placed"),tblPlacements[[#This Row],[Package LPA]]+ROW()/1000000,"")</f>
        <v>4.800138</v>
      </c>
    </row>
    <row r="139">
      <c r="A139" s="79" t="inlineStr">
        <is>
          <t>PL2135</t>
        </is>
      </c>
      <c r="B139" s="79" t="inlineStr">
        <is>
          <t>Tanya Tyagi</t>
        </is>
      </c>
      <c r="C139" s="80" t="inlineStr">
        <is>
          <t>ECE</t>
        </is>
      </c>
      <c r="D139" s="80" t="n">
        <v>2023</v>
      </c>
      <c r="E139" s="81" t="n">
        <v>7.72</v>
      </c>
      <c r="F139" s="80" t="inlineStr">
        <is>
          <t>Not Placed</t>
        </is>
      </c>
      <c r="G139" s="79" t="n"/>
      <c r="H139" s="79" t="n"/>
      <c r="I139" s="79" t="n"/>
      <c r="J139" s="80" t="n"/>
      <c r="K139" s="84" t="n"/>
      <c r="L139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40">
      <c r="A140" s="79" t="inlineStr">
        <is>
          <t>PL2136</t>
        </is>
      </c>
      <c r="B140" s="79" t="inlineStr">
        <is>
          <t>Riya Kapoor</t>
        </is>
      </c>
      <c r="C140" s="80" t="inlineStr">
        <is>
          <t>ECE</t>
        </is>
      </c>
      <c r="D140" s="80" t="n">
        <v>2025</v>
      </c>
      <c r="E140" s="81" t="n">
        <v>7.67</v>
      </c>
      <c r="F140" s="80" t="inlineStr">
        <is>
          <t>Placed</t>
        </is>
      </c>
      <c r="G140" s="79" t="inlineStr">
        <is>
          <t>Samsung R&amp;D</t>
        </is>
      </c>
      <c r="H140" s="79" t="inlineStr">
        <is>
          <t>Electronics &amp; Semiconductor</t>
        </is>
      </c>
      <c r="I140" s="79" t="inlineStr">
        <is>
          <t>Hardware Design Engineer</t>
        </is>
      </c>
      <c r="J140" s="80" t="inlineStr">
        <is>
          <t>On-Campus</t>
        </is>
      </c>
      <c r="K140" s="84" t="n">
        <v>14</v>
      </c>
      <c r="L140" s="82">
        <f>IF(AND(COUNTIFS(tblPlacements[[#This Row],[Branch]],cPl_B,tblPlacements[[#This Row],[Year]],cPl_Y)=1,tblPlacements[[#This Row],[Status]]="Placed"),tblPlacements[[#This Row],[Package LPA]]+ROW()/1000000,"")</f>
        <v>14.00014</v>
      </c>
    </row>
    <row r="141">
      <c r="A141" s="79" t="inlineStr">
        <is>
          <t>PL2137</t>
        </is>
      </c>
      <c r="B141" s="79" t="inlineStr">
        <is>
          <t>Radhika Siddiqui</t>
        </is>
      </c>
      <c r="C141" s="80" t="inlineStr">
        <is>
          <t>IT</t>
        </is>
      </c>
      <c r="D141" s="80" t="n">
        <v>2024</v>
      </c>
      <c r="E141" s="81" t="n">
        <v>7.52</v>
      </c>
      <c r="F141" s="80" t="inlineStr">
        <is>
          <t>Placed</t>
        </is>
      </c>
      <c r="G141" s="79" t="inlineStr">
        <is>
          <t>Wipro</t>
        </is>
      </c>
      <c r="H141" s="79" t="inlineStr">
        <is>
          <t>IT Services</t>
        </is>
      </c>
      <c r="I141" s="79" t="inlineStr">
        <is>
          <t>Analyst Programmer</t>
        </is>
      </c>
      <c r="J141" s="80" t="inlineStr">
        <is>
          <t>On-Campus</t>
        </is>
      </c>
      <c r="K141" s="84" t="n">
        <v>4.9</v>
      </c>
      <c r="L141" s="82">
        <f>IF(AND(COUNTIFS(tblPlacements[[#This Row],[Branch]],cPl_B,tblPlacements[[#This Row],[Year]],cPl_Y)=1,tblPlacements[[#This Row],[Status]]="Placed"),tblPlacements[[#This Row],[Package LPA]]+ROW()/1000000,"")</f>
        <v>4.900141</v>
      </c>
    </row>
    <row r="142">
      <c r="A142" s="79" t="inlineStr">
        <is>
          <t>PL2138</t>
        </is>
      </c>
      <c r="B142" s="79" t="inlineStr">
        <is>
          <t>Kunal Srivastava</t>
        </is>
      </c>
      <c r="C142" s="80" t="inlineStr">
        <is>
          <t>CSE</t>
        </is>
      </c>
      <c r="D142" s="80" t="n">
        <v>2026</v>
      </c>
      <c r="E142" s="81" t="n">
        <v>6.2</v>
      </c>
      <c r="F142" s="80" t="inlineStr">
        <is>
          <t>Placed</t>
        </is>
      </c>
      <c r="G142" s="79" t="inlineStr">
        <is>
          <t>Tech Mahindra</t>
        </is>
      </c>
      <c r="H142" s="79" t="inlineStr">
        <is>
          <t>IT Services</t>
        </is>
      </c>
      <c r="I142" s="79" t="inlineStr">
        <is>
          <t>Systems Engineer</t>
        </is>
      </c>
      <c r="J142" s="80" t="inlineStr">
        <is>
          <t>On-Campus</t>
        </is>
      </c>
      <c r="K142" s="84" t="n">
        <v>3.7</v>
      </c>
      <c r="L142" s="82">
        <f>IF(AND(COUNTIFS(tblPlacements[[#This Row],[Branch]],cPl_B,tblPlacements[[#This Row],[Year]],cPl_Y)=1,tblPlacements[[#This Row],[Status]]="Placed"),tblPlacements[[#This Row],[Package LPA]]+ROW()/1000000,"")</f>
        <v>3.700142</v>
      </c>
    </row>
    <row r="143">
      <c r="A143" s="79" t="inlineStr">
        <is>
          <t>PL2139</t>
        </is>
      </c>
      <c r="B143" s="79" t="inlineStr">
        <is>
          <t>Devansh Tiwari</t>
        </is>
      </c>
      <c r="C143" s="80" t="inlineStr">
        <is>
          <t>ME</t>
        </is>
      </c>
      <c r="D143" s="80" t="n">
        <v>2025</v>
      </c>
      <c r="E143" s="81" t="n">
        <v>8.6</v>
      </c>
      <c r="F143" s="80" t="inlineStr">
        <is>
          <t>Placed</t>
        </is>
      </c>
      <c r="G143" s="79" t="inlineStr">
        <is>
          <t>Tata Projects</t>
        </is>
      </c>
      <c r="H143" s="79" t="inlineStr">
        <is>
          <t>Core Engineering</t>
        </is>
      </c>
      <c r="I143" s="79" t="inlineStr">
        <is>
          <t>Site Engineer</t>
        </is>
      </c>
      <c r="J143" s="80" t="inlineStr">
        <is>
          <t>On-Campus</t>
        </is>
      </c>
      <c r="K143" s="84" t="n">
        <v>6.4</v>
      </c>
      <c r="L143" s="82">
        <f>IF(AND(COUNTIFS(tblPlacements[[#This Row],[Branch]],cPl_B,tblPlacements[[#This Row],[Year]],cPl_Y)=1,tblPlacements[[#This Row],[Status]]="Placed"),tblPlacements[[#This Row],[Package LPA]]+ROW()/1000000,"")</f>
        <v>6.400143</v>
      </c>
    </row>
    <row r="144">
      <c r="A144" s="79" t="inlineStr">
        <is>
          <t>PL2140</t>
        </is>
      </c>
      <c r="B144" s="79" t="inlineStr">
        <is>
          <t>Aarushi Gupta</t>
        </is>
      </c>
      <c r="C144" s="80" t="inlineStr">
        <is>
          <t>ME</t>
        </is>
      </c>
      <c r="D144" s="80" t="n">
        <v>2024</v>
      </c>
      <c r="E144" s="81" t="n">
        <v>6.97</v>
      </c>
      <c r="F144" s="80" t="inlineStr">
        <is>
          <t>Not Placed</t>
        </is>
      </c>
      <c r="G144" s="79" t="n"/>
      <c r="H144" s="79" t="n"/>
      <c r="I144" s="79" t="n"/>
      <c r="J144" s="80" t="n"/>
      <c r="K144" s="84" t="n"/>
      <c r="L144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45">
      <c r="A145" s="79" t="inlineStr">
        <is>
          <t>PL2141</t>
        </is>
      </c>
      <c r="B145" s="79" t="inlineStr">
        <is>
          <t>Ananya Rawat</t>
        </is>
      </c>
      <c r="C145" s="80" t="inlineStr">
        <is>
          <t>CSE</t>
        </is>
      </c>
      <c r="D145" s="80" t="n">
        <v>2023</v>
      </c>
      <c r="E145" s="81" t="n">
        <v>6.39</v>
      </c>
      <c r="F145" s="80" t="inlineStr">
        <is>
          <t>Placed</t>
        </is>
      </c>
      <c r="G145" s="79" t="inlineStr">
        <is>
          <t>Infosys</t>
        </is>
      </c>
      <c r="H145" s="79" t="inlineStr">
        <is>
          <t>IT Services</t>
        </is>
      </c>
      <c r="I145" s="79" t="inlineStr">
        <is>
          <t>Analyst Programmer</t>
        </is>
      </c>
      <c r="J145" s="80" t="inlineStr">
        <is>
          <t>On-Campus</t>
        </is>
      </c>
      <c r="K145" s="84" t="n">
        <v>3.6</v>
      </c>
      <c r="L145" s="82">
        <f>IF(AND(COUNTIFS(tblPlacements[[#This Row],[Branch]],cPl_B,tblPlacements[[#This Row],[Year]],cPl_Y)=1,tblPlacements[[#This Row],[Status]]="Placed"),tblPlacements[[#This Row],[Package LPA]]+ROW()/1000000,"")</f>
        <v>3.600145</v>
      </c>
    </row>
    <row r="146">
      <c r="A146" s="79" t="inlineStr">
        <is>
          <t>PL2142</t>
        </is>
      </c>
      <c r="B146" s="79" t="inlineStr">
        <is>
          <t>Deepak Joshi</t>
        </is>
      </c>
      <c r="C146" s="80" t="inlineStr">
        <is>
          <t>ECE</t>
        </is>
      </c>
      <c r="D146" s="80" t="n">
        <v>2026</v>
      </c>
      <c r="E146" s="81" t="n">
        <v>8.029999999999999</v>
      </c>
      <c r="F146" s="80" t="inlineStr">
        <is>
          <t>Placed</t>
        </is>
      </c>
      <c r="G146" s="79" t="inlineStr">
        <is>
          <t>Intel</t>
        </is>
      </c>
      <c r="H146" s="79" t="inlineStr">
        <is>
          <t>Electronics &amp; Semiconductor</t>
        </is>
      </c>
      <c r="I146" s="79" t="inlineStr">
        <is>
          <t>Embedded Software Engineer</t>
        </is>
      </c>
      <c r="J146" s="80" t="inlineStr">
        <is>
          <t>On-Campus</t>
        </is>
      </c>
      <c r="K146" s="84" t="n">
        <v>20.1</v>
      </c>
      <c r="L146" s="82">
        <f>IF(AND(COUNTIFS(tblPlacements[[#This Row],[Branch]],cPl_B,tblPlacements[[#This Row],[Year]],cPl_Y)=1,tblPlacements[[#This Row],[Status]]="Placed"),tblPlacements[[#This Row],[Package LPA]]+ROW()/1000000,"")</f>
        <v>20.100146</v>
      </c>
    </row>
    <row r="147">
      <c r="A147" s="79" t="inlineStr">
        <is>
          <t>PL2143</t>
        </is>
      </c>
      <c r="B147" s="79" t="inlineStr">
        <is>
          <t>Devansh Ansari</t>
        </is>
      </c>
      <c r="C147" s="80" t="inlineStr">
        <is>
          <t>ME</t>
        </is>
      </c>
      <c r="D147" s="80" t="n">
        <v>2025</v>
      </c>
      <c r="E147" s="81" t="n">
        <v>7.26</v>
      </c>
      <c r="F147" s="80" t="inlineStr">
        <is>
          <t>Not Placed</t>
        </is>
      </c>
      <c r="G147" s="79" t="n"/>
      <c r="H147" s="79" t="n"/>
      <c r="I147" s="79" t="n"/>
      <c r="J147" s="80" t="n"/>
      <c r="K147" s="84" t="n"/>
      <c r="L147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48">
      <c r="A148" s="79" t="inlineStr">
        <is>
          <t>PL2144</t>
        </is>
      </c>
      <c r="B148" s="79" t="inlineStr">
        <is>
          <t>Rahul Singh</t>
        </is>
      </c>
      <c r="C148" s="80" t="inlineStr">
        <is>
          <t>ECE</t>
        </is>
      </c>
      <c r="D148" s="80" t="n">
        <v>2026</v>
      </c>
      <c r="E148" s="81" t="n">
        <v>7.04</v>
      </c>
      <c r="F148" s="80" t="inlineStr">
        <is>
          <t>Placed</t>
        </is>
      </c>
      <c r="G148" s="79" t="inlineStr">
        <is>
          <t>Wipro</t>
        </is>
      </c>
      <c r="H148" s="79" t="inlineStr">
        <is>
          <t>IT Services</t>
        </is>
      </c>
      <c r="I148" s="79" t="inlineStr">
        <is>
          <t>Graduate Engineer Trainee</t>
        </is>
      </c>
      <c r="J148" s="80" t="inlineStr">
        <is>
          <t>On-Campus</t>
        </is>
      </c>
      <c r="K148" s="84" t="n">
        <v>3.5</v>
      </c>
      <c r="L148" s="82">
        <f>IF(AND(COUNTIFS(tblPlacements[[#This Row],[Branch]],cPl_B,tblPlacements[[#This Row],[Year]],cPl_Y)=1,tblPlacements[[#This Row],[Status]]="Placed"),tblPlacements[[#This Row],[Package LPA]]+ROW()/1000000,"")</f>
        <v>3.500148</v>
      </c>
    </row>
    <row r="149">
      <c r="A149" s="79" t="inlineStr">
        <is>
          <t>PL2145</t>
        </is>
      </c>
      <c r="B149" s="79" t="inlineStr">
        <is>
          <t>Srishti Verma</t>
        </is>
      </c>
      <c r="C149" s="80" t="inlineStr">
        <is>
          <t>IT</t>
        </is>
      </c>
      <c r="D149" s="80" t="n">
        <v>2024</v>
      </c>
      <c r="E149" s="81" t="n">
        <v>7.95</v>
      </c>
      <c r="F149" s="80" t="inlineStr">
        <is>
          <t>Placed</t>
        </is>
      </c>
      <c r="G149" s="79" t="inlineStr">
        <is>
          <t>Deloitte</t>
        </is>
      </c>
      <c r="H149" s="79" t="inlineStr">
        <is>
          <t>Consulting &amp; Analytics</t>
        </is>
      </c>
      <c r="I149" s="79" t="inlineStr">
        <is>
          <t>Associate Consultant</t>
        </is>
      </c>
      <c r="J149" s="80" t="inlineStr">
        <is>
          <t>On-Campus</t>
        </is>
      </c>
      <c r="K149" s="84" t="n">
        <v>7.8</v>
      </c>
      <c r="L149" s="82">
        <f>IF(AND(COUNTIFS(tblPlacements[[#This Row],[Branch]],cPl_B,tblPlacements[[#This Row],[Year]],cPl_Y)=1,tblPlacements[[#This Row],[Status]]="Placed"),tblPlacements[[#This Row],[Package LPA]]+ROW()/1000000,"")</f>
        <v>7.800149</v>
      </c>
    </row>
    <row r="150">
      <c r="A150" s="79" t="inlineStr">
        <is>
          <t>PL2146</t>
        </is>
      </c>
      <c r="B150" s="79" t="inlineStr">
        <is>
          <t>Tushar Sharma</t>
        </is>
      </c>
      <c r="C150" s="80" t="inlineStr">
        <is>
          <t>CSE</t>
        </is>
      </c>
      <c r="D150" s="80" t="n">
        <v>2023</v>
      </c>
      <c r="E150" s="81" t="n">
        <v>8.25</v>
      </c>
      <c r="F150" s="80" t="inlineStr">
        <is>
          <t>Placed</t>
        </is>
      </c>
      <c r="G150" s="79" t="inlineStr">
        <is>
          <t>Tech Mahindra</t>
        </is>
      </c>
      <c r="H150" s="79" t="inlineStr">
        <is>
          <t>IT Services</t>
        </is>
      </c>
      <c r="I150" s="79" t="inlineStr">
        <is>
          <t>Graduate Engineer Trainee</t>
        </is>
      </c>
      <c r="J150" s="80" t="inlineStr">
        <is>
          <t>On-Campus</t>
        </is>
      </c>
      <c r="K150" s="84" t="n">
        <v>4.6</v>
      </c>
      <c r="L150" s="82">
        <f>IF(AND(COUNTIFS(tblPlacements[[#This Row],[Branch]],cPl_B,tblPlacements[[#This Row],[Year]],cPl_Y)=1,tblPlacements[[#This Row],[Status]]="Placed"),tblPlacements[[#This Row],[Package LPA]]+ROW()/1000000,"")</f>
        <v>4.60015</v>
      </c>
    </row>
    <row r="151">
      <c r="A151" s="79" t="inlineStr">
        <is>
          <t>PL2147</t>
        </is>
      </c>
      <c r="B151" s="79" t="inlineStr">
        <is>
          <t>Pranav Thakur</t>
        </is>
      </c>
      <c r="C151" s="80" t="inlineStr">
        <is>
          <t>ECE</t>
        </is>
      </c>
      <c r="D151" s="80" t="n">
        <v>2024</v>
      </c>
      <c r="E151" s="81" t="n">
        <v>7.11</v>
      </c>
      <c r="F151" s="80" t="inlineStr">
        <is>
          <t>Placed</t>
        </is>
      </c>
      <c r="G151" s="79" t="inlineStr">
        <is>
          <t>TCS</t>
        </is>
      </c>
      <c r="H151" s="79" t="inlineStr">
        <is>
          <t>IT Services</t>
        </is>
      </c>
      <c r="I151" s="79" t="inlineStr">
        <is>
          <t>Graduate Engineer Trainee</t>
        </is>
      </c>
      <c r="J151" s="80" t="inlineStr">
        <is>
          <t>On-Campus</t>
        </is>
      </c>
      <c r="K151" s="84" t="n">
        <v>4.2</v>
      </c>
      <c r="L151" s="82">
        <f>IF(AND(COUNTIFS(tblPlacements[[#This Row],[Branch]],cPl_B,tblPlacements[[#This Row],[Year]],cPl_Y)=1,tblPlacements[[#This Row],[Status]]="Placed"),tblPlacements[[#This Row],[Package LPA]]+ROW()/1000000,"")</f>
        <v>4.200151</v>
      </c>
    </row>
    <row r="152">
      <c r="A152" s="79" t="inlineStr">
        <is>
          <t>PL2148</t>
        </is>
      </c>
      <c r="B152" s="79" t="inlineStr">
        <is>
          <t>Arjun Mittal</t>
        </is>
      </c>
      <c r="C152" s="80" t="inlineStr">
        <is>
          <t>ME</t>
        </is>
      </c>
      <c r="D152" s="80" t="n">
        <v>2026</v>
      </c>
      <c r="E152" s="81" t="n">
        <v>7.51</v>
      </c>
      <c r="F152" s="80" t="inlineStr">
        <is>
          <t>Not Placed</t>
        </is>
      </c>
      <c r="G152" s="79" t="n"/>
      <c r="H152" s="79" t="n"/>
      <c r="I152" s="79" t="n"/>
      <c r="J152" s="80" t="n"/>
      <c r="K152" s="84" t="n"/>
      <c r="L152" s="82" t="str">
        <f>IF(AND(COUNTIFS(tblPlacements[[#This Row],[Branch]],cPl_B,tblPlacements[[#This Row],[Year]],cPl_Y)=1,tblPlacements[[#This Row],[Status]]="Placed"),tblPlacements[[#This Row],[Package LPA]]+ROW()/1000000,"")</f>
        <v/>
      </c>
    </row>
    <row r="153">
      <c r="A153" s="79" t="inlineStr">
        <is>
          <t>PL2149</t>
        </is>
      </c>
      <c r="B153" s="79" t="inlineStr">
        <is>
          <t>Neha Nair</t>
        </is>
      </c>
      <c r="C153" s="80" t="inlineStr">
        <is>
          <t>IT</t>
        </is>
      </c>
      <c r="D153" s="80" t="n">
        <v>2023</v>
      </c>
      <c r="E153" s="81" t="n">
        <v>8.41</v>
      </c>
      <c r="F153" s="80" t="inlineStr">
        <is>
          <t>Placed</t>
        </is>
      </c>
      <c r="G153" s="79" t="inlineStr">
        <is>
          <t>Amazon</t>
        </is>
      </c>
      <c r="H153" s="79" t="inlineStr">
        <is>
          <t>Product &amp; Startups</t>
        </is>
      </c>
      <c r="I153" s="79" t="inlineStr">
        <is>
          <t>Software Development Engineer</t>
        </is>
      </c>
      <c r="J153" s="80" t="inlineStr">
        <is>
          <t>On-Campus</t>
        </is>
      </c>
      <c r="K153" s="84" t="n">
        <v>31</v>
      </c>
      <c r="L153" s="82">
        <f>IF(AND(COUNTIFS(tblPlacements[[#This Row],[Branch]],cPl_B,tblPlacements[[#This Row],[Year]],cPl_Y)=1,tblPlacements[[#This Row],[Status]]="Placed"),tblPlacements[[#This Row],[Package LPA]]+ROW()/1000000,"")</f>
        <v>31.000153</v>
      </c>
    </row>
    <row r="154">
      <c r="A154" s="79" t="inlineStr">
        <is>
          <t>PL2150</t>
        </is>
      </c>
      <c r="B154" s="79" t="inlineStr">
        <is>
          <t>Sneha Tyagi</t>
        </is>
      </c>
      <c r="C154" s="80" t="inlineStr">
        <is>
          <t>CE</t>
        </is>
      </c>
      <c r="D154" s="80" t="n">
        <v>2024</v>
      </c>
      <c r="E154" s="81" t="n">
        <v>7.51</v>
      </c>
      <c r="F154" s="80" t="inlineStr">
        <is>
          <t>Not Placed</t>
        </is>
      </c>
      <c r="G154" s="79" t="n"/>
      <c r="H154" s="79" t="n"/>
      <c r="I154" s="79" t="n"/>
      <c r="J154" s="80" t="n"/>
      <c r="K154" s="84" t="n"/>
      <c r="L154" s="82" t="str">
        <f>IF(AND(COUNTIFS(tblPlacements[[#This Row],[Branch]],cPl_B,tblPlacements[[#This Row],[Year]],cPl_Y)=1,tblPlacements[[#This Row],[Status]]="Placed"),tblPlacements[[#This Row],[Package LPA]]+ROW()/1000000,"")</f>
        <v/>
      </c>
    </row>
  </sheetData>
  <mergeCells count="1">
    <mergeCell ref="A1:L1"/>
  </mergeCells>
  <conditionalFormatting sqref="F5:F2000">
    <cfRule type="cellIs" priority="1" operator="equal" dxfId="8">
      <formula>"Placed"</formula>
    </cfRule>
    <cfRule type="cellIs" priority="2" operator="equal" dxfId="4">
      <formula>"Not Placed"</formula>
    </cfRule>
  </conditionalFormatting>
  <conditionalFormatting sqref="K5:K2000">
    <cfRule type="dataBar" priority="3">
      <dataBar>
        <cfvo type="num" val="0"/>
        <cfvo type="max"/>
        <color rgb="005B9BD5"/>
      </dataBar>
    </cfRule>
  </conditionalFormatting>
  <dataValidations count="2">
    <dataValidation sqref="C5:C2000" showDropDown="0" showInputMessage="0" showErrorMessage="1" allowBlank="1" error="Pick a value from the list" type="list">
      <formula1>=Lists!$A$4:$A$8</formula1>
    </dataValidation>
    <dataValidation sqref="D5:D2000" showDropDown="0" showInputMessage="0" showErrorMessage="1" allowBlank="1" error="Pick a value from the list" type="list">
      <formula1>=Lists!$G$5:$G$8</formula1>
    </dataValidation>
  </dataValidations>
  <hyperlinks>
    <hyperlink ref="A2" location="'Overview'!A1" display="« Back to Overview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7B7B"/>
    <outlinePr summaryBelow="1" summaryRight="1"/>
    <pageSetUpPr/>
  </sheetPr>
  <dimension ref="A1:P29"/>
  <sheetViews>
    <sheetView showGridLines="1" tabSelected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0" customWidth="1" min="4" max="4"/>
    <col width="8" customWidth="1" min="5" max="5"/>
    <col width="10" customWidth="1" min="6" max="6"/>
    <col width="9" customWidth="1" min="7" max="7"/>
    <col width="11" customWidth="1" min="8" max="8"/>
    <col width="26" customWidth="1" min="9" max="9"/>
    <col width="10" customWidth="1" min="10" max="10"/>
    <col width="9" customWidth="1" min="11" max="11"/>
    <col width="10" customWidth="1" min="12" max="12"/>
    <col width="10" customWidth="1" min="13" max="13"/>
    <col width="11" customWidth="1" min="14" max="14"/>
    <col width="9" customWidth="1" min="15" max="15"/>
    <col width="12" customWidth="1" min="16" max="16"/>
  </cols>
  <sheetData>
    <row r="1" ht="30" customHeight="1">
      <c r="A1" s="74" t="inlineStr">
        <is>
          <t>Course Data  |  tblCourses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75" t="inlineStr">
        <is>
          <t>« Back to Overview</t>
        </is>
      </c>
    </row>
    <row r="3">
      <c r="A3" s="76" t="inlineStr">
        <is>
          <t>Navy header = input column (type or paste data)   |   Teal header = formula column (fills automatically, do not overwrite)</t>
        </is>
      </c>
    </row>
    <row r="4" ht="32" customHeight="1">
      <c r="A4" s="77" t="inlineStr">
        <is>
          <t>CourseCode</t>
        </is>
      </c>
      <c r="B4" s="77" t="inlineStr">
        <is>
          <t>Course Name</t>
        </is>
      </c>
      <c r="C4" s="77" t="inlineStr">
        <is>
          <t>Branch</t>
        </is>
      </c>
      <c r="D4" s="77" t="inlineStr">
        <is>
          <t>Semester</t>
        </is>
      </c>
      <c r="E4" s="77" t="inlineStr">
        <is>
          <t>Year</t>
        </is>
      </c>
      <c r="F4" s="77" t="inlineStr">
        <is>
          <t>Type</t>
        </is>
      </c>
      <c r="G4" s="77" t="inlineStr">
        <is>
          <t>Credits</t>
        </is>
      </c>
      <c r="H4" s="77" t="inlineStr">
        <is>
          <t>FacultyID</t>
        </is>
      </c>
      <c r="I4" s="78" t="inlineStr">
        <is>
          <t>Faculty Name</t>
        </is>
      </c>
      <c r="J4" s="77" t="inlineStr">
        <is>
          <t>Enrolled</t>
        </is>
      </c>
      <c r="K4" s="77" t="inlineStr">
        <is>
          <t>Passed</t>
        </is>
      </c>
      <c r="L4" s="78" t="inlineStr">
        <is>
          <t>Pass Rate</t>
        </is>
      </c>
      <c r="M4" s="77" t="inlineStr">
        <is>
          <t>Avg Marks</t>
        </is>
      </c>
      <c r="N4" s="77" t="inlineStr">
        <is>
          <t>Avg Attendance</t>
        </is>
      </c>
      <c r="O4" s="77" t="inlineStr">
        <is>
          <t>Rating</t>
        </is>
      </c>
      <c r="P4" s="78" t="inlineStr">
        <is>
          <t>Rank Key</t>
        </is>
      </c>
    </row>
    <row r="5">
      <c r="A5" s="79" t="inlineStr">
        <is>
          <t>CS301</t>
        </is>
      </c>
      <c r="B5" s="79" t="inlineStr">
        <is>
          <t>Data Structures</t>
        </is>
      </c>
      <c r="C5" s="80" t="inlineStr">
        <is>
          <t>CSE</t>
        </is>
      </c>
      <c r="D5" s="80" t="n">
        <v>3</v>
      </c>
      <c r="E5" s="80" t="n">
        <v>2024</v>
      </c>
      <c r="F5" s="80" t="inlineStr">
        <is>
          <t>Core</t>
        </is>
      </c>
      <c r="G5" s="80" t="n">
        <v>4</v>
      </c>
      <c r="H5" s="79" t="inlineStr">
        <is>
          <t>FAC111</t>
        </is>
      </c>
      <c r="I5" s="79" t="str">
        <f>IFERROR(INDEX(tblFaculty[Faculty Name],MATCH(tblCourses[[#This Row],[FacultyID]],tblFaculty[FacultyID],0)),"Unknown")</f>
        <v>Dr. Anita Pandey</v>
      </c>
      <c r="J5" s="80" t="n">
        <v>53</v>
      </c>
      <c r="K5" s="80" t="n">
        <v>45</v>
      </c>
      <c r="L5" s="83">
        <f>IFERROR(tblCourses[[#This Row],[Passed]]/tblCourses[[#This Row],[Enrolled]],0)</f>
        <v>0.849056603773585</v>
      </c>
      <c r="M5" s="84" t="n">
        <v>61.5</v>
      </c>
      <c r="N5" s="83" t="n">
        <v>0.756</v>
      </c>
      <c r="O5" s="81" t="n">
        <v>4.36</v>
      </c>
      <c r="P5" s="82">
        <f>IF(COUNTIFS(tblCourses[[#This Row],[Branch]],cCo_B,tblCourses[[#This Row],[Semester]],cCo_S,tblCourses[[#This Row],[Year]],cCo_Y)=1,tblCourses[[#This Row],[Pass Rate]]+ROW()/1000000000,"")</f>
        <v>0.849056608773585</v>
      </c>
    </row>
    <row r="6">
      <c r="A6" s="79" t="inlineStr">
        <is>
          <t>CS402</t>
        </is>
      </c>
      <c r="B6" s="79" t="inlineStr">
        <is>
          <t>Operating Systems</t>
        </is>
      </c>
      <c r="C6" s="80" t="inlineStr">
        <is>
          <t>CSE</t>
        </is>
      </c>
      <c r="D6" s="80" t="n">
        <v>4</v>
      </c>
      <c r="E6" s="80" t="n">
        <v>2026</v>
      </c>
      <c r="F6" s="80" t="inlineStr">
        <is>
          <t>Core</t>
        </is>
      </c>
      <c r="G6" s="80" t="n">
        <v>4</v>
      </c>
      <c r="H6" s="79" t="inlineStr">
        <is>
          <t>FAC121</t>
        </is>
      </c>
      <c r="I6" s="79" t="str">
        <f>IFERROR(INDEX(tblFaculty[Faculty Name],MATCH(tblCourses[[#This Row],[FacultyID]],tblFaculty[FacultyID],0)),"Unknown")</f>
        <v>Mr. Neeta Thakur</v>
      </c>
      <c r="J6" s="80" t="n">
        <v>65</v>
      </c>
      <c r="K6" s="80" t="n">
        <v>62</v>
      </c>
      <c r="L6" s="83">
        <f>IFERROR(tblCourses[[#This Row],[Passed]]/tblCourses[[#This Row],[Enrolled]],0)</f>
        <v>0.953846153846154</v>
      </c>
      <c r="M6" s="84" t="n">
        <v>73.2</v>
      </c>
      <c r="N6" s="83" t="n">
        <v>0.855</v>
      </c>
      <c r="O6" s="81" t="n">
        <v>3.96</v>
      </c>
      <c r="P6" s="82">
        <f>IF(COUNTIFS(tblCourses[[#This Row],[Branch]],cCo_B,tblCourses[[#This Row],[Semester]],cCo_S,tblCourses[[#This Row],[Year]],cCo_Y)=1,tblCourses[[#This Row],[Pass Rate]]+ROW()/1000000000,"")</f>
        <v>0.953846159846154</v>
      </c>
    </row>
    <row r="7">
      <c r="A7" s="79" t="inlineStr">
        <is>
          <t>CS403</t>
        </is>
      </c>
      <c r="B7" s="79" t="inlineStr">
        <is>
          <t>Database Management Systems</t>
        </is>
      </c>
      <c r="C7" s="80" t="inlineStr">
        <is>
          <t>CSE</t>
        </is>
      </c>
      <c r="D7" s="80" t="n">
        <v>4</v>
      </c>
      <c r="E7" s="80" t="n">
        <v>2024</v>
      </c>
      <c r="F7" s="80" t="inlineStr">
        <is>
          <t>Core</t>
        </is>
      </c>
      <c r="G7" s="80" t="n">
        <v>4</v>
      </c>
      <c r="H7" s="79" t="inlineStr">
        <is>
          <t>FAC101</t>
        </is>
      </c>
      <c r="I7" s="79" t="str">
        <f>IFERROR(INDEX(tblFaculty[Faculty Name],MATCH(tblCourses[[#This Row],[FacultyID]],tblFaculty[FacultyID],0)),"Unknown")</f>
        <v>Prof. Prakash Patel</v>
      </c>
      <c r="J7" s="80" t="n">
        <v>61</v>
      </c>
      <c r="K7" s="80" t="n">
        <v>58</v>
      </c>
      <c r="L7" s="83">
        <f>IFERROR(tblCourses[[#This Row],[Passed]]/tblCourses[[#This Row],[Enrolled]],0)</f>
        <v>0.950819672131148</v>
      </c>
      <c r="M7" s="84" t="n">
        <v>61.2</v>
      </c>
      <c r="N7" s="83" t="n">
        <v>0.877</v>
      </c>
      <c r="O7" s="81" t="n">
        <v>4.29</v>
      </c>
      <c r="P7" s="82">
        <f>IF(COUNTIFS(tblCourses[[#This Row],[Branch]],cCo_B,tblCourses[[#This Row],[Semester]],cCo_S,tblCourses[[#This Row],[Year]],cCo_Y)=1,tblCourses[[#This Row],[Pass Rate]]+ROW()/1000000000,"")</f>
        <v>0.950819679131148</v>
      </c>
    </row>
    <row r="8">
      <c r="A8" s="79" t="inlineStr">
        <is>
          <t>CS501</t>
        </is>
      </c>
      <c r="B8" s="79" t="inlineStr">
        <is>
          <t>Computer Networks</t>
        </is>
      </c>
      <c r="C8" s="80" t="inlineStr">
        <is>
          <t>CSE</t>
        </is>
      </c>
      <c r="D8" s="80" t="n">
        <v>5</v>
      </c>
      <c r="E8" s="80" t="n">
        <v>2026</v>
      </c>
      <c r="F8" s="80" t="inlineStr">
        <is>
          <t>Core</t>
        </is>
      </c>
      <c r="G8" s="80" t="n">
        <v>4</v>
      </c>
      <c r="H8" s="79" t="inlineStr">
        <is>
          <t>FAC116</t>
        </is>
      </c>
      <c r="I8" s="79" t="str">
        <f>IFERROR(INDEX(tblFaculty[Faculty Name],MATCH(tblCourses[[#This Row],[FacultyID]],tblFaculty[FacultyID],0)),"Unknown")</f>
        <v>Prof. Renu Reddy</v>
      </c>
      <c r="J8" s="80" t="n">
        <v>42</v>
      </c>
      <c r="K8" s="80" t="n">
        <v>41</v>
      </c>
      <c r="L8" s="83">
        <f>IFERROR(tblCourses[[#This Row],[Passed]]/tblCourses[[#This Row],[Enrolled]],0)</f>
        <v>0.976190476190476</v>
      </c>
      <c r="M8" s="84" t="n">
        <v>68.09999999999999</v>
      </c>
      <c r="N8" s="83" t="n">
        <v>0.893</v>
      </c>
      <c r="O8" s="81" t="n">
        <v>4.37</v>
      </c>
      <c r="P8" s="82">
        <f>IF(COUNTIFS(tblCourses[[#This Row],[Branch]],cCo_B,tblCourses[[#This Row],[Semester]],cCo_S,tblCourses[[#This Row],[Year]],cCo_Y)=1,tblCourses[[#This Row],[Pass Rate]]+ROW()/1000000000,"")</f>
        <v>0.976190484190476</v>
      </c>
    </row>
    <row r="9">
      <c r="A9" s="79" t="inlineStr">
        <is>
          <t>CS605</t>
        </is>
      </c>
      <c r="B9" s="79" t="inlineStr">
        <is>
          <t>Machine Learning</t>
        </is>
      </c>
      <c r="C9" s="80" t="inlineStr">
        <is>
          <t>CSE</t>
        </is>
      </c>
      <c r="D9" s="80" t="n">
        <v>6</v>
      </c>
      <c r="E9" s="80" t="n">
        <v>2025</v>
      </c>
      <c r="F9" s="80" t="inlineStr">
        <is>
          <t>Elective</t>
        </is>
      </c>
      <c r="G9" s="80" t="n">
        <v>4</v>
      </c>
      <c r="H9" s="79" t="inlineStr">
        <is>
          <t>FAC116</t>
        </is>
      </c>
      <c r="I9" s="79" t="str">
        <f>IFERROR(INDEX(tblFaculty[Faculty Name],MATCH(tblCourses[[#This Row],[FacultyID]],tblFaculty[FacultyID],0)),"Unknown")</f>
        <v>Prof. Renu Reddy</v>
      </c>
      <c r="J9" s="80" t="n">
        <v>59</v>
      </c>
      <c r="K9" s="80" t="n">
        <v>57</v>
      </c>
      <c r="L9" s="83">
        <f>IFERROR(tblCourses[[#This Row],[Passed]]/tblCourses[[#This Row],[Enrolled]],0)</f>
        <v>0.966101694915254</v>
      </c>
      <c r="M9" s="84" t="n">
        <v>65.7</v>
      </c>
      <c r="N9" s="83" t="n">
        <v>0.869</v>
      </c>
      <c r="O9" s="81" t="n">
        <v>3.73</v>
      </c>
      <c r="P9" s="82">
        <f>IF(COUNTIFS(tblCourses[[#This Row],[Branch]],cCo_B,tblCourses[[#This Row],[Semester]],cCo_S,tblCourses[[#This Row],[Year]],cCo_Y)=1,tblCourses[[#This Row],[Pass Rate]]+ROW()/1000000000,"")</f>
        <v>0.966101703915254</v>
      </c>
    </row>
    <row r="10">
      <c r="A10" s="79" t="inlineStr">
        <is>
          <t>IT401</t>
        </is>
      </c>
      <c r="B10" s="79" t="inlineStr">
        <is>
          <t>Web Technologies</t>
        </is>
      </c>
      <c r="C10" s="80" t="inlineStr">
        <is>
          <t>IT</t>
        </is>
      </c>
      <c r="D10" s="80" t="n">
        <v>4</v>
      </c>
      <c r="E10" s="80" t="n">
        <v>2025</v>
      </c>
      <c r="F10" s="80" t="inlineStr">
        <is>
          <t>Core</t>
        </is>
      </c>
      <c r="G10" s="80" t="n">
        <v>4</v>
      </c>
      <c r="H10" s="79" t="inlineStr">
        <is>
          <t>FAC120</t>
        </is>
      </c>
      <c r="I10" s="79" t="str">
        <f>IFERROR(INDEX(tblFaculty[Faculty Name],MATCH(tblCourses[[#This Row],[FacultyID]],tblFaculty[FacultyID],0)),"Unknown")</f>
        <v>Prof. Sanjay Ansari</v>
      </c>
      <c r="J10" s="80" t="n">
        <v>43</v>
      </c>
      <c r="K10" s="80" t="n">
        <v>39</v>
      </c>
      <c r="L10" s="83">
        <f>IFERROR(tblCourses[[#This Row],[Passed]]/tblCourses[[#This Row],[Enrolled]],0)</f>
        <v>0.906976744186047</v>
      </c>
      <c r="M10" s="84" t="n">
        <v>57.9</v>
      </c>
      <c r="N10" s="83" t="n">
        <v>0.838</v>
      </c>
      <c r="O10" s="81" t="n">
        <v>3.98</v>
      </c>
      <c r="P10" s="82">
        <f>IF(COUNTIFS(tblCourses[[#This Row],[Branch]],cCo_B,tblCourses[[#This Row],[Semester]],cCo_S,tblCourses[[#This Row],[Year]],cCo_Y)=1,tblCourses[[#This Row],[Pass Rate]]+ROW()/1000000000,"")</f>
        <v>0.906976754186047</v>
      </c>
    </row>
    <row r="11">
      <c r="A11" s="79" t="inlineStr">
        <is>
          <t>IT502</t>
        </is>
      </c>
      <c r="B11" s="79" t="inlineStr">
        <is>
          <t>Software Engineering</t>
        </is>
      </c>
      <c r="C11" s="80" t="inlineStr">
        <is>
          <t>IT</t>
        </is>
      </c>
      <c r="D11" s="80" t="n">
        <v>5</v>
      </c>
      <c r="E11" s="80" t="n">
        <v>2023</v>
      </c>
      <c r="F11" s="80" t="inlineStr">
        <is>
          <t>Core</t>
        </is>
      </c>
      <c r="G11" s="80" t="n">
        <v>4</v>
      </c>
      <c r="H11" s="79" t="inlineStr">
        <is>
          <t>FAC115</t>
        </is>
      </c>
      <c r="I11" s="79" t="str">
        <f>IFERROR(INDEX(tblFaculty[Faculty Name],MATCH(tblCourses[[#This Row],[FacultyID]],tblFaculty[FacultyID],0)),"Unknown")</f>
        <v>Dr. Archana Mishra</v>
      </c>
      <c r="J11" s="80" t="n">
        <v>61</v>
      </c>
      <c r="K11" s="80" t="n">
        <v>50</v>
      </c>
      <c r="L11" s="83">
        <f>IFERROR(tblCourses[[#This Row],[Passed]]/tblCourses[[#This Row],[Enrolled]],0)</f>
        <v>0.819672131147541</v>
      </c>
      <c r="M11" s="84" t="n">
        <v>69.40000000000001</v>
      </c>
      <c r="N11" s="83" t="n">
        <v>0.801</v>
      </c>
      <c r="O11" s="81" t="n">
        <v>4.01</v>
      </c>
      <c r="P11" s="82">
        <f>IF(COUNTIFS(tblCourses[[#This Row],[Branch]],cCo_B,tblCourses[[#This Row],[Semester]],cCo_S,tblCourses[[#This Row],[Year]],cCo_Y)=1,tblCourses[[#This Row],[Pass Rate]]+ROW()/1000000000,"")</f>
        <v>0.819672142147541</v>
      </c>
    </row>
    <row r="12">
      <c r="A12" s="79" t="inlineStr">
        <is>
          <t>IT603</t>
        </is>
      </c>
      <c r="B12" s="79" t="inlineStr">
        <is>
          <t>Cloud Computing</t>
        </is>
      </c>
      <c r="C12" s="80" t="inlineStr">
        <is>
          <t>IT</t>
        </is>
      </c>
      <c r="D12" s="80" t="n">
        <v>6</v>
      </c>
      <c r="E12" s="80" t="n">
        <v>2026</v>
      </c>
      <c r="F12" s="80" t="inlineStr">
        <is>
          <t>Elective</t>
        </is>
      </c>
      <c r="G12" s="80" t="n">
        <v>4</v>
      </c>
      <c r="H12" s="79" t="inlineStr">
        <is>
          <t>FAC110</t>
        </is>
      </c>
      <c r="I12" s="79" t="str">
        <f>IFERROR(INDEX(tblFaculty[Faculty Name],MATCH(tblCourses[[#This Row],[FacultyID]],tblFaculty[FacultyID],0)),"Unknown")</f>
        <v>Prof. Vivek Saxena</v>
      </c>
      <c r="J12" s="80" t="n">
        <v>46</v>
      </c>
      <c r="K12" s="80" t="n">
        <v>43</v>
      </c>
      <c r="L12" s="83">
        <f>IFERROR(tblCourses[[#This Row],[Passed]]/tblCourses[[#This Row],[Enrolled]],0)</f>
        <v>0.934782608695652</v>
      </c>
      <c r="M12" s="84" t="n">
        <v>68.2</v>
      </c>
      <c r="N12" s="83" t="n">
        <v>0.872</v>
      </c>
      <c r="O12" s="81" t="n">
        <v>3.94</v>
      </c>
      <c r="P12" s="82">
        <f>IF(COUNTIFS(tblCourses[[#This Row],[Branch]],cCo_B,tblCourses[[#This Row],[Semester]],cCo_S,tblCourses[[#This Row],[Year]],cCo_Y)=1,tblCourses[[#This Row],[Pass Rate]]+ROW()/1000000000,"")</f>
        <v>0.934782620695652</v>
      </c>
    </row>
    <row r="13">
      <c r="A13" s="79" t="inlineStr">
        <is>
          <t>IT704</t>
        </is>
      </c>
      <c r="B13" s="79" t="inlineStr">
        <is>
          <t>Information Security</t>
        </is>
      </c>
      <c r="C13" s="80" t="inlineStr">
        <is>
          <t>IT</t>
        </is>
      </c>
      <c r="D13" s="80" t="n">
        <v>7</v>
      </c>
      <c r="E13" s="80" t="n">
        <v>2026</v>
      </c>
      <c r="F13" s="80" t="inlineStr">
        <is>
          <t>Elective</t>
        </is>
      </c>
      <c r="G13" s="80" t="n">
        <v>4</v>
      </c>
      <c r="H13" s="79" t="inlineStr">
        <is>
          <t>FAC125</t>
        </is>
      </c>
      <c r="I13" s="79" t="str">
        <f>IFERROR(INDEX(tblFaculty[Faculty Name],MATCH(tblCourses[[#This Row],[FacultyID]],tblFaculty[FacultyID],0)),"Unknown")</f>
        <v>Dr. Rakesh Banerjee</v>
      </c>
      <c r="J13" s="80" t="n">
        <v>53</v>
      </c>
      <c r="K13" s="80" t="n">
        <v>47</v>
      </c>
      <c r="L13" s="83">
        <f>IFERROR(tblCourses[[#This Row],[Passed]]/tblCourses[[#This Row],[Enrolled]],0)</f>
        <v>0.886792452830189</v>
      </c>
      <c r="M13" s="84" t="n">
        <v>71.90000000000001</v>
      </c>
      <c r="N13" s="83" t="n">
        <v>0.824</v>
      </c>
      <c r="O13" s="81" t="n">
        <v>4.25</v>
      </c>
      <c r="P13" s="82">
        <f>IF(COUNTIFS(tblCourses[[#This Row],[Branch]],cCo_B,tblCourses[[#This Row],[Semester]],cCo_S,tblCourses[[#This Row],[Year]],cCo_Y)=1,tblCourses[[#This Row],[Pass Rate]]+ROW()/1000000000,"")</f>
        <v>0.886792465830189</v>
      </c>
    </row>
    <row r="14">
      <c r="A14" s="79" t="inlineStr">
        <is>
          <t>IT606</t>
        </is>
      </c>
      <c r="B14" s="79" t="inlineStr">
        <is>
          <t>Data Analytics Lab</t>
        </is>
      </c>
      <c r="C14" s="80" t="inlineStr">
        <is>
          <t>IT</t>
        </is>
      </c>
      <c r="D14" s="80" t="n">
        <v>6</v>
      </c>
      <c r="E14" s="80" t="n">
        <v>2023</v>
      </c>
      <c r="F14" s="80" t="inlineStr">
        <is>
          <t>Lab</t>
        </is>
      </c>
      <c r="G14" s="80" t="n">
        <v>2</v>
      </c>
      <c r="H14" s="79" t="inlineStr">
        <is>
          <t>FAC115</t>
        </is>
      </c>
      <c r="I14" s="79" t="str">
        <f>IFERROR(INDEX(tblFaculty[Faculty Name],MATCH(tblCourses[[#This Row],[FacultyID]],tblFaculty[FacultyID],0)),"Unknown")</f>
        <v>Dr. Archana Mishra</v>
      </c>
      <c r="J14" s="80" t="n">
        <v>64</v>
      </c>
      <c r="K14" s="80" t="n">
        <v>61</v>
      </c>
      <c r="L14" s="83">
        <f>IFERROR(tblCourses[[#This Row],[Passed]]/tblCourses[[#This Row],[Enrolled]],0)</f>
        <v>0.953125</v>
      </c>
      <c r="M14" s="84" t="n">
        <v>73.40000000000001</v>
      </c>
      <c r="N14" s="83" t="n">
        <v>0.852</v>
      </c>
      <c r="O14" s="81" t="n">
        <v>3.95</v>
      </c>
      <c r="P14" s="82">
        <f>IF(COUNTIFS(tblCourses[[#This Row],[Branch]],cCo_B,tblCourses[[#This Row],[Semester]],cCo_S,tblCourses[[#This Row],[Year]],cCo_Y)=1,tblCourses[[#This Row],[Pass Rate]]+ROW()/1000000000,"")</f>
        <v>0.953125014</v>
      </c>
    </row>
    <row r="15">
      <c r="A15" s="79" t="inlineStr">
        <is>
          <t>EC501</t>
        </is>
      </c>
      <c r="B15" s="79" t="inlineStr">
        <is>
          <t>Digital Signal Processing</t>
        </is>
      </c>
      <c r="C15" s="80" t="inlineStr">
        <is>
          <t>ECE</t>
        </is>
      </c>
      <c r="D15" s="80" t="n">
        <v>5</v>
      </c>
      <c r="E15" s="80" t="n">
        <v>2023</v>
      </c>
      <c r="F15" s="80" t="inlineStr">
        <is>
          <t>Core</t>
        </is>
      </c>
      <c r="G15" s="80" t="n">
        <v>4</v>
      </c>
      <c r="H15" s="79" t="inlineStr">
        <is>
          <t>FAC127</t>
        </is>
      </c>
      <c r="I15" s="79" t="str">
        <f>IFERROR(INDEX(tblFaculty[Faculty Name],MATCH(tblCourses[[#This Row],[FacultyID]],tblFaculty[FacultyID],0)),"Unknown")</f>
        <v>Prof. Kavita Mittal</v>
      </c>
      <c r="J15" s="80" t="n">
        <v>46</v>
      </c>
      <c r="K15" s="80" t="n">
        <v>38</v>
      </c>
      <c r="L15" s="83">
        <f>IFERROR(tblCourses[[#This Row],[Passed]]/tblCourses[[#This Row],[Enrolled]],0)</f>
        <v>0.826086956521739</v>
      </c>
      <c r="M15" s="84" t="n">
        <v>75.7</v>
      </c>
      <c r="N15" s="83" t="n">
        <v>0.833</v>
      </c>
      <c r="O15" s="81" t="n">
        <v>3.95</v>
      </c>
      <c r="P15" s="82">
        <f>IF(COUNTIFS(tblCourses[[#This Row],[Branch]],cCo_B,tblCourses[[#This Row],[Semester]],cCo_S,tblCourses[[#This Row],[Year]],cCo_Y)=1,tblCourses[[#This Row],[Pass Rate]]+ROW()/1000000000,"")</f>
        <v>0.826086971521739</v>
      </c>
    </row>
    <row r="16">
      <c r="A16" s="79" t="inlineStr">
        <is>
          <t>EC602</t>
        </is>
      </c>
      <c r="B16" s="79" t="inlineStr">
        <is>
          <t>VLSI Design</t>
        </is>
      </c>
      <c r="C16" s="80" t="inlineStr">
        <is>
          <t>ECE</t>
        </is>
      </c>
      <c r="D16" s="80" t="n">
        <v>6</v>
      </c>
      <c r="E16" s="80" t="n">
        <v>2023</v>
      </c>
      <c r="F16" s="80" t="inlineStr">
        <is>
          <t>Elective</t>
        </is>
      </c>
      <c r="G16" s="80" t="n">
        <v>4</v>
      </c>
      <c r="H16" s="79" t="inlineStr">
        <is>
          <t>FAC112</t>
        </is>
      </c>
      <c r="I16" s="79" t="str">
        <f>IFERROR(INDEX(tblFaculty[Faculty Name],MATCH(tblCourses[[#This Row],[FacultyID]],tblFaculty[FacultyID],0)),"Unknown")</f>
        <v>Prof. Ashok Srivastava</v>
      </c>
      <c r="J16" s="80" t="n">
        <v>60</v>
      </c>
      <c r="K16" s="80" t="n">
        <v>51</v>
      </c>
      <c r="L16" s="83">
        <f>IFERROR(tblCourses[[#This Row],[Passed]]/tblCourses[[#This Row],[Enrolled]],0)</f>
        <v>0.85</v>
      </c>
      <c r="M16" s="84" t="n">
        <v>68.5</v>
      </c>
      <c r="N16" s="83" t="n">
        <v>0.77</v>
      </c>
      <c r="O16" s="81" t="n">
        <v>3.57</v>
      </c>
      <c r="P16" s="82">
        <f>IF(COUNTIFS(tblCourses[[#This Row],[Branch]],cCo_B,tblCourses[[#This Row],[Semester]],cCo_S,tblCourses[[#This Row],[Year]],cCo_Y)=1,tblCourses[[#This Row],[Pass Rate]]+ROW()/1000000000,"")</f>
        <v>0.850000016</v>
      </c>
    </row>
    <row r="17">
      <c r="A17" s="79" t="inlineStr">
        <is>
          <t>EC303</t>
        </is>
      </c>
      <c r="B17" s="79" t="inlineStr">
        <is>
          <t>Analog Circuits</t>
        </is>
      </c>
      <c r="C17" s="80" t="inlineStr">
        <is>
          <t>ECE</t>
        </is>
      </c>
      <c r="D17" s="80" t="n">
        <v>3</v>
      </c>
      <c r="E17" s="80" t="n">
        <v>2025</v>
      </c>
      <c r="F17" s="80" t="inlineStr">
        <is>
          <t>Core</t>
        </is>
      </c>
      <c r="G17" s="80" t="n">
        <v>4</v>
      </c>
      <c r="H17" s="79" t="inlineStr">
        <is>
          <t>FAC112</t>
        </is>
      </c>
      <c r="I17" s="79" t="str">
        <f>IFERROR(INDEX(tblFaculty[Faculty Name],MATCH(tblCourses[[#This Row],[FacultyID]],tblFaculty[FacultyID],0)),"Unknown")</f>
        <v>Prof. Ashok Srivastava</v>
      </c>
      <c r="J17" s="80" t="n">
        <v>48</v>
      </c>
      <c r="K17" s="80" t="n">
        <v>46</v>
      </c>
      <c r="L17" s="83">
        <f>IFERROR(tblCourses[[#This Row],[Passed]]/tblCourses[[#This Row],[Enrolled]],0)</f>
        <v>0.958333333333333</v>
      </c>
      <c r="M17" s="84" t="n">
        <v>65.09999999999999</v>
      </c>
      <c r="N17" s="83" t="n">
        <v>0.843</v>
      </c>
      <c r="O17" s="81" t="n">
        <v>3.92</v>
      </c>
      <c r="P17" s="82">
        <f>IF(COUNTIFS(tblCourses[[#This Row],[Branch]],cCo_B,tblCourses[[#This Row],[Semester]],cCo_S,tblCourses[[#This Row],[Year]],cCo_Y)=1,tblCourses[[#This Row],[Pass Rate]]+ROW()/1000000000,"")</f>
        <v>0.958333350333333</v>
      </c>
    </row>
    <row r="18">
      <c r="A18" s="79" t="inlineStr">
        <is>
          <t>EC404</t>
        </is>
      </c>
      <c r="B18" s="79" t="inlineStr">
        <is>
          <t>Microprocessors Lab</t>
        </is>
      </c>
      <c r="C18" s="80" t="inlineStr">
        <is>
          <t>ECE</t>
        </is>
      </c>
      <c r="D18" s="80" t="n">
        <v>4</v>
      </c>
      <c r="E18" s="80" t="n">
        <v>2026</v>
      </c>
      <c r="F18" s="80" t="inlineStr">
        <is>
          <t>Lab</t>
        </is>
      </c>
      <c r="G18" s="80" t="n">
        <v>2</v>
      </c>
      <c r="H18" s="79" t="inlineStr">
        <is>
          <t>FAC122</t>
        </is>
      </c>
      <c r="I18" s="79" t="str">
        <f>IFERROR(INDEX(tblFaculty[Faculty Name],MATCH(tblCourses[[#This Row],[FacultyID]],tblFaculty[FacultyID],0)),"Unknown")</f>
        <v>Prof. Shalini Patel</v>
      </c>
      <c r="J18" s="80" t="n">
        <v>70</v>
      </c>
      <c r="K18" s="80" t="n">
        <v>61</v>
      </c>
      <c r="L18" s="83">
        <f>IFERROR(tblCourses[[#This Row],[Passed]]/tblCourses[[#This Row],[Enrolled]],0)</f>
        <v>0.871428571428571</v>
      </c>
      <c r="M18" s="84" t="n">
        <v>66.40000000000001</v>
      </c>
      <c r="N18" s="83" t="n">
        <v>0.834</v>
      </c>
      <c r="O18" s="81" t="n">
        <v>3.54</v>
      </c>
      <c r="P18" s="82">
        <f>IF(COUNTIFS(tblCourses[[#This Row],[Branch]],cCo_B,tblCourses[[#This Row],[Semester]],cCo_S,tblCourses[[#This Row],[Year]],cCo_Y)=1,tblCourses[[#This Row],[Pass Rate]]+ROW()/1000000000,"")</f>
        <v>0.871428589428572</v>
      </c>
    </row>
    <row r="19">
      <c r="A19" s="79" t="inlineStr">
        <is>
          <t>EC505</t>
        </is>
      </c>
      <c r="B19" s="79" t="inlineStr">
        <is>
          <t>Communication Systems</t>
        </is>
      </c>
      <c r="C19" s="80" t="inlineStr">
        <is>
          <t>ECE</t>
        </is>
      </c>
      <c r="D19" s="80" t="n">
        <v>5</v>
      </c>
      <c r="E19" s="80" t="n">
        <v>2026</v>
      </c>
      <c r="F19" s="80" t="inlineStr">
        <is>
          <t>Core</t>
        </is>
      </c>
      <c r="G19" s="80" t="n">
        <v>4</v>
      </c>
      <c r="H19" s="79" t="inlineStr">
        <is>
          <t>FAC102</t>
        </is>
      </c>
      <c r="I19" s="79" t="str">
        <f>IFERROR(INDEX(tblFaculty[Faculty Name],MATCH(tblCourses[[#This Row],[FacultyID]],tblFaculty[FacultyID],0)),"Unknown")</f>
        <v>Dr. Mamta Reddy</v>
      </c>
      <c r="J19" s="80" t="n">
        <v>62</v>
      </c>
      <c r="K19" s="80" t="n">
        <v>58</v>
      </c>
      <c r="L19" s="83">
        <f>IFERROR(tblCourses[[#This Row],[Passed]]/tblCourses[[#This Row],[Enrolled]],0)</f>
        <v>0.935483870967742</v>
      </c>
      <c r="M19" s="84" t="n">
        <v>65.09999999999999</v>
      </c>
      <c r="N19" s="83" t="n">
        <v>0.839</v>
      </c>
      <c r="O19" s="81" t="n">
        <v>4.62</v>
      </c>
      <c r="P19" s="82">
        <f>IF(COUNTIFS(tblCourses[[#This Row],[Branch]],cCo_B,tblCourses[[#This Row],[Semester]],cCo_S,tblCourses[[#This Row],[Year]],cCo_Y)=1,tblCourses[[#This Row],[Pass Rate]]+ROW()/1000000000,"")</f>
        <v>0.935483889967742</v>
      </c>
    </row>
    <row r="20">
      <c r="A20" s="79" t="inlineStr">
        <is>
          <t>ME301</t>
        </is>
      </c>
      <c r="B20" s="79" t="inlineStr">
        <is>
          <t>Thermodynamics</t>
        </is>
      </c>
      <c r="C20" s="80" t="inlineStr">
        <is>
          <t>ME</t>
        </is>
      </c>
      <c r="D20" s="80" t="n">
        <v>3</v>
      </c>
      <c r="E20" s="80" t="n">
        <v>2026</v>
      </c>
      <c r="F20" s="80" t="inlineStr">
        <is>
          <t>Core</t>
        </is>
      </c>
      <c r="G20" s="80" t="n">
        <v>4</v>
      </c>
      <c r="H20" s="79" t="inlineStr">
        <is>
          <t>FAC103</t>
        </is>
      </c>
      <c r="I20" s="79" t="str">
        <f>IFERROR(INDEX(tblFaculty[Faculty Name],MATCH(tblCourses[[#This Row],[FacultyID]],tblFaculty[FacultyID],0)),"Unknown")</f>
        <v>Dr. Usha Shah</v>
      </c>
      <c r="J20" s="80" t="n">
        <v>67</v>
      </c>
      <c r="K20" s="80" t="n">
        <v>62</v>
      </c>
      <c r="L20" s="83">
        <f>IFERROR(tblCourses[[#This Row],[Passed]]/tblCourses[[#This Row],[Enrolled]],0)</f>
        <v>0.925373134328358</v>
      </c>
      <c r="M20" s="84" t="n">
        <v>72.59999999999999</v>
      </c>
      <c r="N20" s="83" t="n">
        <v>0.89</v>
      </c>
      <c r="O20" s="81" t="n">
        <v>3.82</v>
      </c>
      <c r="P20" s="82">
        <f>IF(COUNTIFS(tblCourses[[#This Row],[Branch]],cCo_B,tblCourses[[#This Row],[Semester]],cCo_S,tblCourses[[#This Row],[Year]],cCo_Y)=1,tblCourses[[#This Row],[Pass Rate]]+ROW()/1000000000,"")</f>
        <v>0.925373154328358</v>
      </c>
    </row>
    <row r="21">
      <c r="A21" s="79" t="inlineStr">
        <is>
          <t>ME402</t>
        </is>
      </c>
      <c r="B21" s="79" t="inlineStr">
        <is>
          <t>Fluid Mechanics</t>
        </is>
      </c>
      <c r="C21" s="80" t="inlineStr">
        <is>
          <t>ME</t>
        </is>
      </c>
      <c r="D21" s="80" t="n">
        <v>4</v>
      </c>
      <c r="E21" s="80" t="n">
        <v>2025</v>
      </c>
      <c r="F21" s="80" t="inlineStr">
        <is>
          <t>Core</t>
        </is>
      </c>
      <c r="G21" s="80" t="n">
        <v>4</v>
      </c>
      <c r="H21" s="79" t="inlineStr">
        <is>
          <t>FAC108</t>
        </is>
      </c>
      <c r="I21" s="79" t="str">
        <f>IFERROR(INDEX(tblFaculty[Faculty Name],MATCH(tblCourses[[#This Row],[FacultyID]],tblFaculty[FacultyID],0)),"Unknown")</f>
        <v>Prof. Suresh Shah</v>
      </c>
      <c r="J21" s="80" t="n">
        <v>68</v>
      </c>
      <c r="K21" s="80" t="n">
        <v>63</v>
      </c>
      <c r="L21" s="83">
        <f>IFERROR(tblCourses[[#This Row],[Passed]]/tblCourses[[#This Row],[Enrolled]],0)</f>
        <v>0.926470588235294</v>
      </c>
      <c r="M21" s="84" t="n">
        <v>72</v>
      </c>
      <c r="N21" s="83" t="n">
        <v>0.823</v>
      </c>
      <c r="O21" s="81" t="n">
        <v>4.16</v>
      </c>
      <c r="P21" s="82">
        <f>IF(COUNTIFS(tblCourses[[#This Row],[Branch]],cCo_B,tblCourses[[#This Row],[Semester]],cCo_S,tblCourses[[#This Row],[Year]],cCo_Y)=1,tblCourses[[#This Row],[Pass Rate]]+ROW()/1000000000,"")</f>
        <v>0.926470609235294</v>
      </c>
    </row>
    <row r="22">
      <c r="A22" s="79" t="inlineStr">
        <is>
          <t>ME503</t>
        </is>
      </c>
      <c r="B22" s="79" t="inlineStr">
        <is>
          <t>Machine Design</t>
        </is>
      </c>
      <c r="C22" s="80" t="inlineStr">
        <is>
          <t>ME</t>
        </is>
      </c>
      <c r="D22" s="80" t="n">
        <v>5</v>
      </c>
      <c r="E22" s="80" t="n">
        <v>2023</v>
      </c>
      <c r="F22" s="80" t="inlineStr">
        <is>
          <t>Core</t>
        </is>
      </c>
      <c r="G22" s="80" t="n">
        <v>4</v>
      </c>
      <c r="H22" s="79" t="inlineStr">
        <is>
          <t>FAC118</t>
        </is>
      </c>
      <c r="I22" s="79" t="str">
        <f>IFERROR(INDEX(tblFaculty[Faculty Name],MATCH(tblCourses[[#This Row],[FacultyID]],tblFaculty[FacultyID],0)),"Unknown")</f>
        <v>Dr. Poonam Agarwal</v>
      </c>
      <c r="J22" s="80" t="n">
        <v>57</v>
      </c>
      <c r="K22" s="80" t="n">
        <v>49</v>
      </c>
      <c r="L22" s="83">
        <f>IFERROR(tblCourses[[#This Row],[Passed]]/tblCourses[[#This Row],[Enrolled]],0)</f>
        <v>0.859649122807018</v>
      </c>
      <c r="M22" s="84" t="n">
        <v>67.7</v>
      </c>
      <c r="N22" s="83" t="n">
        <v>0.844</v>
      </c>
      <c r="O22" s="81" t="n">
        <v>3.81</v>
      </c>
      <c r="P22" s="82">
        <f>IF(COUNTIFS(tblCourses[[#This Row],[Branch]],cCo_B,tblCourses[[#This Row],[Semester]],cCo_S,tblCourses[[#This Row],[Year]],cCo_Y)=1,tblCourses[[#This Row],[Pass Rate]]+ROW()/1000000000,"")</f>
        <v>0.859649144807018</v>
      </c>
    </row>
    <row r="23">
      <c r="A23" s="79" t="inlineStr">
        <is>
          <t>ME504</t>
        </is>
      </c>
      <c r="B23" s="79" t="inlineStr">
        <is>
          <t>Heat Transfer</t>
        </is>
      </c>
      <c r="C23" s="80" t="inlineStr">
        <is>
          <t>ME</t>
        </is>
      </c>
      <c r="D23" s="80" t="n">
        <v>5</v>
      </c>
      <c r="E23" s="80" t="n">
        <v>2023</v>
      </c>
      <c r="F23" s="80" t="inlineStr">
        <is>
          <t>Elective</t>
        </is>
      </c>
      <c r="G23" s="80" t="n">
        <v>4</v>
      </c>
      <c r="H23" s="79" t="inlineStr">
        <is>
          <t>FAC128</t>
        </is>
      </c>
      <c r="I23" s="79" t="str">
        <f>IFERROR(INDEX(tblFaculty[Faculty Name],MATCH(tblCourses[[#This Row],[FacultyID]],tblFaculty[FacultyID],0)),"Unknown")</f>
        <v>Dr. Madhu Ansari</v>
      </c>
      <c r="J23" s="80" t="n">
        <v>64</v>
      </c>
      <c r="K23" s="80" t="n">
        <v>56</v>
      </c>
      <c r="L23" s="83">
        <f>IFERROR(tblCourses[[#This Row],[Passed]]/tblCourses[[#This Row],[Enrolled]],0)</f>
        <v>0.875</v>
      </c>
      <c r="M23" s="84" t="n">
        <v>61.3</v>
      </c>
      <c r="N23" s="83" t="n">
        <v>0.881</v>
      </c>
      <c r="O23" s="81" t="n">
        <v>4.03</v>
      </c>
      <c r="P23" s="82">
        <f>IF(COUNTIFS(tblCourses[[#This Row],[Branch]],cCo_B,tblCourses[[#This Row],[Semester]],cCo_S,tblCourses[[#This Row],[Year]],cCo_Y)=1,tblCourses[[#This Row],[Pass Rate]]+ROW()/1000000000,"")</f>
        <v>0.875000023</v>
      </c>
    </row>
    <row r="24">
      <c r="A24" s="79" t="inlineStr">
        <is>
          <t>ME305</t>
        </is>
      </c>
      <c r="B24" s="79" t="inlineStr">
        <is>
          <t>Manufacturing Processes Lab</t>
        </is>
      </c>
      <c r="C24" s="80" t="inlineStr">
        <is>
          <t>ME</t>
        </is>
      </c>
      <c r="D24" s="80" t="n">
        <v>3</v>
      </c>
      <c r="E24" s="80" t="n">
        <v>2026</v>
      </c>
      <c r="F24" s="80" t="inlineStr">
        <is>
          <t>Lab</t>
        </is>
      </c>
      <c r="G24" s="80" t="n">
        <v>2</v>
      </c>
      <c r="H24" s="79" t="inlineStr">
        <is>
          <t>FAC108</t>
        </is>
      </c>
      <c r="I24" s="79" t="str">
        <f>IFERROR(INDEX(tblFaculty[Faculty Name],MATCH(tblCourses[[#This Row],[FacultyID]],tblFaculty[FacultyID],0)),"Unknown")</f>
        <v>Prof. Suresh Shah</v>
      </c>
      <c r="J24" s="80" t="n">
        <v>47</v>
      </c>
      <c r="K24" s="80" t="n">
        <v>42</v>
      </c>
      <c r="L24" s="83">
        <f>IFERROR(tblCourses[[#This Row],[Passed]]/tblCourses[[#This Row],[Enrolled]],0)</f>
        <v>0.893617021276596</v>
      </c>
      <c r="M24" s="84" t="n">
        <v>65.59999999999999</v>
      </c>
      <c r="N24" s="83" t="n">
        <v>0.851</v>
      </c>
      <c r="O24" s="81" t="n">
        <v>3.79</v>
      </c>
      <c r="P24" s="82">
        <f>IF(COUNTIFS(tblCourses[[#This Row],[Branch]],cCo_B,tblCourses[[#This Row],[Semester]],cCo_S,tblCourses[[#This Row],[Year]],cCo_Y)=1,tblCourses[[#This Row],[Pass Rate]]+ROW()/1000000000,"")</f>
        <v>0.893617045276596</v>
      </c>
    </row>
    <row r="25">
      <c r="A25" s="79" t="inlineStr">
        <is>
          <t>CE401</t>
        </is>
      </c>
      <c r="B25" s="79" t="inlineStr">
        <is>
          <t>Structural Analysis</t>
        </is>
      </c>
      <c r="C25" s="80" t="inlineStr">
        <is>
          <t>CE</t>
        </is>
      </c>
      <c r="D25" s="80" t="n">
        <v>4</v>
      </c>
      <c r="E25" s="80" t="n">
        <v>2023</v>
      </c>
      <c r="F25" s="80" t="inlineStr">
        <is>
          <t>Core</t>
        </is>
      </c>
      <c r="G25" s="80" t="n">
        <v>4</v>
      </c>
      <c r="H25" s="79" t="inlineStr">
        <is>
          <t>FAC104</t>
        </is>
      </c>
      <c r="I25" s="79" t="str">
        <f>IFERROR(INDEX(tblFaculty[Faculty Name],MATCH(tblCourses[[#This Row],[FacultyID]],tblFaculty[FacultyID],0)),"Unknown")</f>
        <v>Dr. Pradeep Srivastava</v>
      </c>
      <c r="J25" s="80" t="n">
        <v>45</v>
      </c>
      <c r="K25" s="80" t="n">
        <v>33</v>
      </c>
      <c r="L25" s="83">
        <f>IFERROR(tblCourses[[#This Row],[Passed]]/tblCourses[[#This Row],[Enrolled]],0)</f>
        <v>0.733333333333333</v>
      </c>
      <c r="M25" s="84" t="n">
        <v>75.2</v>
      </c>
      <c r="N25" s="83" t="n">
        <v>0.7</v>
      </c>
      <c r="O25" s="81" t="n">
        <v>3.95</v>
      </c>
      <c r="P25" s="82">
        <f>IF(COUNTIFS(tblCourses[[#This Row],[Branch]],cCo_B,tblCourses[[#This Row],[Semester]],cCo_S,tblCourses[[#This Row],[Year]],cCo_Y)=1,tblCourses[[#This Row],[Pass Rate]]+ROW()/1000000000,"")</f>
        <v>0.733333358333333</v>
      </c>
    </row>
    <row r="26">
      <c r="A26" s="79" t="inlineStr">
        <is>
          <t>CE502</t>
        </is>
      </c>
      <c r="B26" s="79" t="inlineStr">
        <is>
          <t>Geotechnical Engineering</t>
        </is>
      </c>
      <c r="C26" s="80" t="inlineStr">
        <is>
          <t>CE</t>
        </is>
      </c>
      <c r="D26" s="80" t="n">
        <v>5</v>
      </c>
      <c r="E26" s="80" t="n">
        <v>2025</v>
      </c>
      <c r="F26" s="80" t="inlineStr">
        <is>
          <t>Core</t>
        </is>
      </c>
      <c r="G26" s="80" t="n">
        <v>4</v>
      </c>
      <c r="H26" s="79" t="inlineStr">
        <is>
          <t>FAC114</t>
        </is>
      </c>
      <c r="I26" s="79" t="str">
        <f>IFERROR(INDEX(tblFaculty[Faculty Name],MATCH(tblCourses[[#This Row],[FacultyID]],tblFaculty[FacultyID],0)),"Unknown")</f>
        <v>Prof. Ramesh Saxena</v>
      </c>
      <c r="J26" s="80" t="n">
        <v>50</v>
      </c>
      <c r="K26" s="80" t="n">
        <v>45</v>
      </c>
      <c r="L26" s="83">
        <f>IFERROR(tblCourses[[#This Row],[Passed]]/tblCourses[[#This Row],[Enrolled]],0)</f>
        <v>0.9</v>
      </c>
      <c r="M26" s="84" t="n">
        <v>67.8</v>
      </c>
      <c r="N26" s="83" t="n">
        <v>0.856</v>
      </c>
      <c r="O26" s="81" t="n">
        <v>4.11</v>
      </c>
      <c r="P26" s="82">
        <f>IF(COUNTIFS(tblCourses[[#This Row],[Branch]],cCo_B,tblCourses[[#This Row],[Semester]],cCo_S,tblCourses[[#This Row],[Year]],cCo_Y)=1,tblCourses[[#This Row],[Pass Rate]]+ROW()/1000000000,"")</f>
        <v>0.900000026</v>
      </c>
    </row>
    <row r="27">
      <c r="A27" s="79" t="inlineStr">
        <is>
          <t>CE303</t>
        </is>
      </c>
      <c r="B27" s="79" t="inlineStr">
        <is>
          <t>Concrete Technology</t>
        </is>
      </c>
      <c r="C27" s="80" t="inlineStr">
        <is>
          <t>CE</t>
        </is>
      </c>
      <c r="D27" s="80" t="n">
        <v>3</v>
      </c>
      <c r="E27" s="80" t="n">
        <v>2023</v>
      </c>
      <c r="F27" s="80" t="inlineStr">
        <is>
          <t>Core</t>
        </is>
      </c>
      <c r="G27" s="80" t="n">
        <v>4</v>
      </c>
      <c r="H27" s="79" t="inlineStr">
        <is>
          <t>FAC114</t>
        </is>
      </c>
      <c r="I27" s="79" t="str">
        <f>IFERROR(INDEX(tblFaculty[Faculty Name],MATCH(tblCourses[[#This Row],[FacultyID]],tblFaculty[FacultyID],0)),"Unknown")</f>
        <v>Prof. Ramesh Saxena</v>
      </c>
      <c r="J27" s="80" t="n">
        <v>51</v>
      </c>
      <c r="K27" s="80" t="n">
        <v>41</v>
      </c>
      <c r="L27" s="83">
        <f>IFERROR(tblCourses[[#This Row],[Passed]]/tblCourses[[#This Row],[Enrolled]],0)</f>
        <v>0.803921568627451</v>
      </c>
      <c r="M27" s="84" t="n">
        <v>66.40000000000001</v>
      </c>
      <c r="N27" s="83" t="n">
        <v>0.788</v>
      </c>
      <c r="O27" s="81" t="n">
        <v>4.05</v>
      </c>
      <c r="P27" s="82">
        <f>IF(COUNTIFS(tblCourses[[#This Row],[Branch]],cCo_B,tblCourses[[#This Row],[Semester]],cCo_S,tblCourses[[#This Row],[Year]],cCo_Y)=1,tblCourses[[#This Row],[Pass Rate]]+ROW()/1000000000,"")</f>
        <v>0.803921595627451</v>
      </c>
    </row>
    <row r="28">
      <c r="A28" s="79" t="inlineStr">
        <is>
          <t>CE604</t>
        </is>
      </c>
      <c r="B28" s="79" t="inlineStr">
        <is>
          <t>Transportation Engineering</t>
        </is>
      </c>
      <c r="C28" s="80" t="inlineStr">
        <is>
          <t>CE</t>
        </is>
      </c>
      <c r="D28" s="80" t="n">
        <v>6</v>
      </c>
      <c r="E28" s="80" t="n">
        <v>2023</v>
      </c>
      <c r="F28" s="80" t="inlineStr">
        <is>
          <t>Elective</t>
        </is>
      </c>
      <c r="G28" s="80" t="n">
        <v>4</v>
      </c>
      <c r="H28" s="79" t="inlineStr">
        <is>
          <t>FAC104</t>
        </is>
      </c>
      <c r="I28" s="79" t="str">
        <f>IFERROR(INDEX(tblFaculty[Faculty Name],MATCH(tblCourses[[#This Row],[FacultyID]],tblFaculty[FacultyID],0)),"Unknown")</f>
        <v>Dr. Pradeep Srivastava</v>
      </c>
      <c r="J28" s="80" t="n">
        <v>67</v>
      </c>
      <c r="K28" s="80" t="n">
        <v>58</v>
      </c>
      <c r="L28" s="83">
        <f>IFERROR(tblCourses[[#This Row],[Passed]]/tblCourses[[#This Row],[Enrolled]],0)</f>
        <v>0.865671641791045</v>
      </c>
      <c r="M28" s="84" t="n">
        <v>76.09999999999999</v>
      </c>
      <c r="N28" s="83" t="n">
        <v>0.802</v>
      </c>
      <c r="O28" s="81" t="n">
        <v>4.8</v>
      </c>
      <c r="P28" s="82">
        <f>IF(COUNTIFS(tblCourses[[#This Row],[Branch]],cCo_B,tblCourses[[#This Row],[Semester]],cCo_S,tblCourses[[#This Row],[Year]],cCo_Y)=1,tblCourses[[#This Row],[Pass Rate]]+ROW()/1000000000,"")</f>
        <v>0.865671669791045</v>
      </c>
    </row>
    <row r="29">
      <c r="A29" s="79" t="inlineStr">
        <is>
          <t>CE705</t>
        </is>
      </c>
      <c r="B29" s="79" t="inlineStr">
        <is>
          <t>Environmental Engineering</t>
        </is>
      </c>
      <c r="C29" s="80" t="inlineStr">
        <is>
          <t>CE</t>
        </is>
      </c>
      <c r="D29" s="80" t="n">
        <v>7</v>
      </c>
      <c r="E29" s="80" t="n">
        <v>2026</v>
      </c>
      <c r="F29" s="80" t="inlineStr">
        <is>
          <t>Elective</t>
        </is>
      </c>
      <c r="G29" s="80" t="n">
        <v>4</v>
      </c>
      <c r="H29" s="79" t="inlineStr">
        <is>
          <t>FAC114</t>
        </is>
      </c>
      <c r="I29" s="79" t="str">
        <f>IFERROR(INDEX(tblFaculty[Faculty Name],MATCH(tblCourses[[#This Row],[FacultyID]],tblFaculty[FacultyID],0)),"Unknown")</f>
        <v>Prof. Ramesh Saxena</v>
      </c>
      <c r="J29" s="80" t="n">
        <v>66</v>
      </c>
      <c r="K29" s="80" t="n">
        <v>63</v>
      </c>
      <c r="L29" s="83">
        <f>IFERROR(tblCourses[[#This Row],[Passed]]/tblCourses[[#This Row],[Enrolled]],0)</f>
        <v>0.954545454545455</v>
      </c>
      <c r="M29" s="84" t="n">
        <v>62.8</v>
      </c>
      <c r="N29" s="83" t="n">
        <v>0.852</v>
      </c>
      <c r="O29" s="81" t="n">
        <v>4.01</v>
      </c>
      <c r="P29" s="82">
        <f>IF(COUNTIFS(tblCourses[[#This Row],[Branch]],cCo_B,tblCourses[[#This Row],[Semester]],cCo_S,tblCourses[[#This Row],[Year]],cCo_Y)=1,tblCourses[[#This Row],[Pass Rate]]+ROW()/1000000000,"")</f>
        <v>0.954545483545455</v>
      </c>
    </row>
  </sheetData>
  <mergeCells count="1">
    <mergeCell ref="A1:P1"/>
  </mergeCells>
  <conditionalFormatting sqref="L5:L2000">
    <cfRule type="cellIs" priority="1" operator="lessThan" dxfId="7">
      <formula>p_CoursePass</formula>
    </cfRule>
    <cfRule type="cellIs" priority="2" operator="greaterThanOrEqual" dxfId="5">
      <formula>p_CoursePass</formula>
    </cfRule>
  </conditionalFormatting>
  <dataValidations count="3">
    <dataValidation sqref="C5:C2000" showDropDown="0" showInputMessage="0" showErrorMessage="1" allowBlank="1" error="Pick a value from the list" type="list">
      <formula1>=Lists!$A$4:$A$8</formula1>
    </dataValidation>
    <dataValidation sqref="D5:D2000" showDropDown="0" showInputMessage="0" showErrorMessage="1" allowBlank="1" error="Pick a value from the list" type="list">
      <formula1>=Lists!$E$5:$E$12</formula1>
    </dataValidation>
    <dataValidation sqref="E5:E2000" showDropDown="0" showInputMessage="0" showErrorMessage="1" allowBlank="1" error="Pick a value from the list" type="list">
      <formula1>=Lists!$G$5:$G$8</formula1>
    </dataValidation>
  </dataValidations>
  <hyperlinks>
    <hyperlink ref="A2" location="'Overview'!A1" display="« Back to Overview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C60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2" customHeight="1">
      <c r="A1" s="1" t="n"/>
      <c r="B1" s="85" t="inlineStr">
        <is>
          <t>Instructions</t>
        </is>
      </c>
      <c r="C1" s="1" t="n"/>
    </row>
    <row r="2">
      <c r="A2" s="1" t="n"/>
      <c r="B2" s="86" t="inlineStr">
        <is>
          <t>How this workbook is organised and how to load your own data</t>
        </is>
      </c>
      <c r="C2" s="1" t="n"/>
    </row>
    <row r="3">
      <c r="A3" s="4" t="n"/>
      <c r="B3" s="87" t="inlineStr">
        <is>
          <t>« Back to Overview</t>
        </is>
      </c>
      <c r="C3" s="4" t="n"/>
    </row>
    <row r="4">
      <c r="A4" s="4" t="n"/>
      <c r="B4" s="4" t="n"/>
      <c r="C4" s="4" t="n"/>
    </row>
    <row r="5">
      <c r="A5" s="4" t="n"/>
      <c r="B5" s="4" t="n"/>
      <c r="C5" s="4" t="n"/>
    </row>
    <row r="6" ht="22" customHeight="1">
      <c r="A6" s="4" t="n"/>
      <c r="B6" s="88" t="inlineStr">
        <is>
          <t>1. What is in each sheet</t>
        </is>
      </c>
      <c r="C6" s="32" t="n"/>
    </row>
    <row r="7" ht="34" customHeight="1">
      <c r="A7" s="4" t="n"/>
      <c r="B7" s="89" t="inlineStr">
        <is>
          <t>Overview</t>
        </is>
      </c>
      <c r="C7" s="90" t="inlineStr">
        <is>
          <t>Executive dashboard for all five modules: 4 KPI cards, 4 charts, branch leaderboard and module scorecard. Filters: Branch, Year.</t>
        </is>
      </c>
    </row>
    <row r="8" ht="34" customHeight="1">
      <c r="A8" s="4" t="n"/>
      <c r="B8" s="89" t="inlineStr">
        <is>
          <t>Student / Attendance / Faculty / Placement / Course Dashboard</t>
        </is>
      </c>
      <c r="C8" s="90" t="inlineStr">
        <is>
          <t>One dashboard per module: 4 KPI cards, 4 charts (bar, line, donut, scatter), Top 10 and Bottom 10 tables. Dropdown filters in row 5 (Branch, Semester, Year where the data has them).</t>
        </is>
      </c>
    </row>
    <row r="9" ht="34" customHeight="1">
      <c r="A9" s="4" t="n"/>
      <c r="B9" s="89" t="inlineStr">
        <is>
          <t>Students, Attendance, Faculty, Placements, Courses</t>
        </is>
      </c>
      <c r="C9" s="90" t="inlineStr">
        <is>
          <t>Data sheets. Each holds one Excel Table (tblStudents, tblAttendance, tblFaculty, tblPlacements, tblCourses). Navy header = input column, teal header = formula column.</t>
        </is>
      </c>
    </row>
    <row r="10" ht="34" customHeight="1">
      <c r="A10" s="4" t="n"/>
      <c r="B10" s="89" t="inlineStr">
        <is>
          <t>Lists</t>
        </is>
      </c>
      <c r="C10" s="90" t="inlineStr">
        <is>
          <t>Dropdown lists, the grade scale and every assumption (pass marks, attendance thresholds, faculty score weights). Yellow cells can be edited.</t>
        </is>
      </c>
    </row>
    <row r="11" ht="19" customHeight="1">
      <c r="A11" s="4" t="n"/>
      <c r="B11" s="89" t="inlineStr">
        <is>
          <t>Calc</t>
        </is>
      </c>
      <c r="C11" s="90" t="inlineStr">
        <is>
          <t>Chart data and the filter criteria. All formulas - do not type here.</t>
        </is>
      </c>
    </row>
    <row r="12">
      <c r="A12" s="4" t="n"/>
      <c r="B12" s="4" t="n"/>
      <c r="C12" s="4" t="n"/>
    </row>
    <row r="13" ht="22" customHeight="1">
      <c r="A13" s="4" t="n"/>
      <c r="B13" s="88" t="inlineStr">
        <is>
          <t>2. Using the dashboards</t>
        </is>
      </c>
      <c r="C13" s="32" t="n"/>
    </row>
    <row r="14" ht="49" customHeight="1">
      <c r="A14" s="4" t="n"/>
      <c r="B14" s="89" t="inlineStr">
        <is>
          <t>Filters</t>
        </is>
      </c>
      <c r="C14" s="90" t="inlineStr">
        <is>
          <t>Pick a value in the blue-bordered cells in row 5, or choose All. KPI cards, charts and Top/Bottom 10 tables update immediately. Charts that compare branches ignore the Branch filter so the comparison stays visible.</t>
        </is>
      </c>
    </row>
    <row r="15" ht="34" customHeight="1">
      <c r="A15" s="4" t="n"/>
      <c r="B15" s="89" t="inlineStr">
        <is>
          <t>Colour rules</t>
        </is>
      </c>
      <c r="C15" s="90" t="inlineStr">
        <is>
          <t>Red = attendance below 75%, failed result, or at-risk record. Green = pass, good attendance, outstanding rating. Amber = course pass rate below target.</t>
        </is>
      </c>
    </row>
    <row r="16" ht="34" customHeight="1">
      <c r="A16" s="4" t="n"/>
      <c r="B16" s="89" t="inlineStr">
        <is>
          <t>Navigation</t>
        </is>
      </c>
      <c r="C16" s="90" t="inlineStr">
        <is>
          <t>The blue buttons in row 3 jump between sheets. Every data sheet and the Lists / Calc sheets have a link back to the Overview.</t>
        </is>
      </c>
    </row>
    <row r="17">
      <c r="A17" s="4" t="n"/>
      <c r="B17" s="4" t="n"/>
      <c r="C17" s="4" t="n"/>
    </row>
    <row r="18" ht="22" customHeight="1">
      <c r="A18" s="4" t="n"/>
      <c r="B18" s="88" t="inlineStr">
        <is>
          <t>3. Replacing the sample data with real data</t>
        </is>
      </c>
      <c r="C18" s="32" t="n"/>
    </row>
    <row r="19" ht="34" customHeight="1">
      <c r="A19" s="4" t="n"/>
      <c r="B19" s="89" t="inlineStr">
        <is>
          <t>Step 1</t>
        </is>
      </c>
      <c r="C19" s="90" t="inlineStr">
        <is>
          <t>Open a data sheet (for example Students). Click the first input cell under the header row and paste your data over the navy-header columns only. Keep the header names exactly as they are.</t>
        </is>
      </c>
    </row>
    <row r="20" ht="49" customHeight="1">
      <c r="A20" s="4" t="n"/>
      <c r="B20" s="89" t="inlineStr">
        <is>
          <t>Step 2</t>
        </is>
      </c>
      <c r="C20" s="90" t="inlineStr">
        <is>
          <t>Do not paste over the teal formula columns (Total Marks, Result, Grade, SGPA, Rank Key, Attendance %, Status, Performance Score, Rating, Pass Rate and the lookups). They are calculated columns and fill down automatically when the table grows.</t>
        </is>
      </c>
    </row>
    <row r="21" ht="49" customHeight="1">
      <c r="A21" s="4" t="n"/>
      <c r="B21" s="89" t="inlineStr">
        <is>
          <t>Step 3</t>
        </is>
      </c>
      <c r="C21" s="90" t="inlineStr">
        <is>
          <t>If you have more or fewer rows than the sample, drag the small handle at the table's bottom-right corner (or just paste below the last row) so the table covers all rows. Remove unused sample rows with right-click &gt; Delete &gt; Table Rows.</t>
        </is>
      </c>
    </row>
    <row r="22" ht="64" customHeight="1">
      <c r="A22" s="4" t="n"/>
      <c r="B22" s="89" t="inlineStr">
        <is>
          <t>Step 4</t>
        </is>
      </c>
      <c r="C22" s="90" t="inlineStr">
        <is>
          <t>Use the exact codes the dropdown lists expect: Branch = CSE, ECE, ME, CE, IT; Semester = 1 to 8; Year = four digits (the year the academic year or batch ends, for example 2026). Years outside 2023-2026 appear in KPIs but need adding to Lists (Year filter) and Calc to show in trend charts.</t>
        </is>
      </c>
    </row>
    <row r="23" ht="34" customHeight="1">
      <c r="A23" s="4" t="n"/>
      <c r="B23" s="89" t="inlineStr">
        <is>
          <t>Step 5</t>
        </is>
      </c>
      <c r="C23" s="90" t="inlineStr">
        <is>
          <t>Attendance rows must use a StudentID that exists in Students - name, branch, semester, year and marks are looked up from there. Courses must use a FacultyID that exists in Faculty.</t>
        </is>
      </c>
    </row>
    <row r="24" ht="34" customHeight="1">
      <c r="A24" s="4" t="n"/>
      <c r="B24" s="89" t="inlineStr">
        <is>
          <t>Step 6</t>
        </is>
      </c>
      <c r="C24" s="90" t="inlineStr">
        <is>
          <t>Placements: leave Company, Sector, Role, Offer Type and Package LPA empty for students who are Not Placed.</t>
        </is>
      </c>
    </row>
    <row r="25" ht="34" customHeight="1">
      <c r="A25" s="4" t="n"/>
      <c r="B25" s="89" t="inlineStr">
        <is>
          <t>Step 7</t>
        </is>
      </c>
      <c r="C25" s="90" t="inlineStr">
        <is>
          <t>Check Lists for your institution's pass marks, grade scale and thresholds, then press Ctrl+Alt+F9 to recalculate if Excel is set to manual calculation.</t>
        </is>
      </c>
    </row>
    <row r="26">
      <c r="A26" s="4" t="n"/>
      <c r="B26" s="4" t="n"/>
      <c r="C26" s="4" t="n"/>
    </row>
    <row r="27" ht="22" customHeight="1">
      <c r="A27" s="4" t="n"/>
      <c r="B27" s="88" t="inlineStr">
        <is>
          <t>4. Good to know</t>
        </is>
      </c>
      <c r="C27" s="32" t="n"/>
    </row>
    <row r="28" ht="34" customHeight="1">
      <c r="A28" s="4" t="n"/>
      <c r="B28" s="89" t="inlineStr">
        <is>
          <t>Sample data</t>
        </is>
      </c>
      <c r="C28" s="90" t="inlineStr">
        <is>
          <t>All names, marks and companies are synthetic and only for demonstration. 240 students, 240 attendance records, 30 faculty, 150 placement records, 25 courses.</t>
        </is>
      </c>
    </row>
    <row r="29" ht="49" customHeight="1">
      <c r="A29" s="4" t="n"/>
      <c r="B29" s="89" t="inlineStr">
        <is>
          <t>Formulas</t>
        </is>
      </c>
      <c r="C29" s="90" t="inlineStr">
        <is>
          <t>Dashboards use COUNTIFS, SUMIFS, AVERAGEIFS, MAXIFS, INDEX/MATCH and SUMPRODUCT over structured table references. INDEX/MATCH is used instead of XLOOKUP so the file works in every Excel version.</t>
        </is>
      </c>
    </row>
    <row r="30" ht="49" customHeight="1">
      <c r="A30" s="4" t="n"/>
      <c r="B30" s="89" t="inlineStr">
        <is>
          <t>Pivot tables and slicers</t>
        </is>
      </c>
      <c r="C30" s="90" t="inlineStr">
        <is>
          <t>Not embedded (the file was generated programmatically). To add them: click inside any table &gt; Insert &gt; PivotTable / Table Design &gt; Insert Slicer. The dropdown filters on each dashboard cover the same need.</t>
        </is>
      </c>
    </row>
    <row r="31" ht="34" customHeight="1">
      <c r="A31" s="4" t="n"/>
      <c r="B31" s="89" t="inlineStr">
        <is>
          <t>Adding a branch</t>
        </is>
      </c>
      <c r="C31" s="90" t="inlineStr">
        <is>
          <t>Add it to the Lists sheet and to the Branch rows of each block on Calc, then extend the chart ranges. The current build assumes five branches.</t>
        </is>
      </c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4" t="n"/>
      <c r="B41" s="4" t="n"/>
      <c r="C41" s="4" t="n"/>
    </row>
    <row r="42">
      <c r="A42" s="4" t="n"/>
      <c r="B42" s="4" t="n"/>
      <c r="C42" s="4" t="n"/>
    </row>
    <row r="43">
      <c r="A43" s="4" t="n"/>
      <c r="B43" s="4" t="n"/>
      <c r="C43" s="4" t="n"/>
    </row>
    <row r="44">
      <c r="A44" s="4" t="n"/>
      <c r="B44" s="4" t="n"/>
      <c r="C44" s="4" t="n"/>
    </row>
    <row r="45">
      <c r="A45" s="4" t="n"/>
      <c r="B45" s="4" t="n"/>
      <c r="C45" s="4" t="n"/>
    </row>
    <row r="46">
      <c r="A46" s="4" t="n"/>
      <c r="B46" s="4" t="n"/>
      <c r="C46" s="4" t="n"/>
    </row>
    <row r="47">
      <c r="A47" s="4" t="n"/>
      <c r="B47" s="4" t="n"/>
      <c r="C47" s="4" t="n"/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4" t="n"/>
      <c r="B56" s="4" t="n"/>
      <c r="C56" s="4" t="n"/>
    </row>
    <row r="57">
      <c r="A57" s="4" t="n"/>
      <c r="B57" s="4" t="n"/>
      <c r="C57" s="4" t="n"/>
    </row>
    <row r="58">
      <c r="A58" s="4" t="n"/>
      <c r="B58" s="4" t="n"/>
      <c r="C58" s="4" t="n"/>
    </row>
    <row r="59">
      <c r="A59" s="4" t="n"/>
      <c r="B59" s="4" t="n"/>
      <c r="C59" s="4" t="n"/>
    </row>
    <row r="60">
      <c r="A60" s="4" t="n"/>
      <c r="B60" s="4" t="n"/>
      <c r="C60" s="4" t="n"/>
    </row>
  </sheetData>
  <mergeCells count="4">
    <mergeCell ref="B13:C13"/>
    <mergeCell ref="B6:C6"/>
    <mergeCell ref="B27:C27"/>
    <mergeCell ref="B18:C18"/>
  </mergeCells>
  <hyperlinks>
    <hyperlink ref="B3" location="'Overview'!A1" display="« Back to Overview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O23"/>
  <sheetViews>
    <sheetView showGridLines="0" tabSelected="0" workbookViewId="0">
      <selection activeCell="A1" sqref="A1"/>
    </sheetView>
  </sheetViews>
  <sheetFormatPr baseColWidth="8" defaultRowHeight="15"/>
  <cols>
    <col width="12" customWidth="1" min="1" max="1"/>
    <col width="3" customWidth="1" min="2" max="2"/>
    <col width="15" customWidth="1" min="3" max="3"/>
    <col width="3" customWidth="1" min="4" max="4"/>
    <col width="16" customWidth="1" min="5" max="5"/>
    <col width="3" customWidth="1" min="6" max="6"/>
    <col width="12" customWidth="1" min="7" max="7"/>
    <col width="3" customWidth="1" min="8" max="8"/>
    <col width="16" customWidth="1" min="9" max="9"/>
    <col width="8" customWidth="1" min="10" max="10"/>
    <col width="13" customWidth="1" min="11" max="11"/>
    <col width="3" customWidth="1" min="12" max="12"/>
    <col width="16" customWidth="1" min="13" max="13"/>
    <col width="10" customWidth="1" min="14" max="14"/>
    <col width="70" customWidth="1" min="15" max="15"/>
  </cols>
  <sheetData>
    <row r="1">
      <c r="A1" s="91" t="inlineStr">
        <is>
          <t>Lists, Grade Scale &amp; Assumptions</t>
        </is>
      </c>
    </row>
    <row r="2">
      <c r="A2" s="76" t="inlineStr">
        <is>
          <t>Drives dropdown filters and business rules. Blue values are assumptions you may change; every formula that uses them updates automatically.</t>
        </is>
      </c>
    </row>
    <row r="3" ht="30" customHeight="1">
      <c r="A3" s="77" t="inlineStr">
        <is>
          <t>Branch</t>
        </is>
      </c>
      <c r="C3" s="77" t="inlineStr">
        <is>
          <t>Branch filter</t>
        </is>
      </c>
      <c r="E3" s="77" t="inlineStr">
        <is>
          <t>Semester filter</t>
        </is>
      </c>
      <c r="G3" s="77" t="inlineStr">
        <is>
          <t>Year filter</t>
        </is>
      </c>
      <c r="I3" s="77" t="inlineStr">
        <is>
          <t>Min Total Marks</t>
        </is>
      </c>
      <c r="J3" s="77" t="inlineStr">
        <is>
          <t>Grade</t>
        </is>
      </c>
      <c r="K3" s="77" t="inlineStr">
        <is>
          <t>Grade Points</t>
        </is>
      </c>
      <c r="M3" s="77" t="inlineStr">
        <is>
          <t>Assumption</t>
        </is>
      </c>
      <c r="N3" s="77" t="inlineStr">
        <is>
          <t>Value</t>
        </is>
      </c>
      <c r="O3" s="77" t="inlineStr">
        <is>
          <t>Meaning</t>
        </is>
      </c>
    </row>
    <row r="4">
      <c r="A4" s="79" t="inlineStr">
        <is>
          <t>CSE</t>
        </is>
      </c>
      <c r="C4" s="79" t="inlineStr">
        <is>
          <t>All</t>
        </is>
      </c>
      <c r="E4" s="79" t="inlineStr">
        <is>
          <t>All</t>
        </is>
      </c>
      <c r="G4" s="79" t="inlineStr">
        <is>
          <t>All</t>
        </is>
      </c>
      <c r="I4" s="92" t="n">
        <v>0</v>
      </c>
      <c r="J4" s="92" t="inlineStr">
        <is>
          <t>F</t>
        </is>
      </c>
      <c r="K4" s="92" t="n">
        <v>0</v>
      </c>
      <c r="M4" s="79" t="inlineStr">
        <is>
          <t>p_PassTotal</t>
        </is>
      </c>
      <c r="N4" s="93" t="n">
        <v>40</v>
      </c>
      <c r="O4" s="94" t="inlineStr">
        <is>
          <t>Minimum total marks (out of 100) to pass</t>
        </is>
      </c>
    </row>
    <row r="5">
      <c r="A5" s="79" t="inlineStr">
        <is>
          <t>ECE</t>
        </is>
      </c>
      <c r="C5" s="79" t="inlineStr">
        <is>
          <t>CSE</t>
        </is>
      </c>
      <c r="E5" s="79" t="n">
        <v>1</v>
      </c>
      <c r="G5" s="79" t="n">
        <v>2023</v>
      </c>
      <c r="I5" s="92" t="n">
        <v>40</v>
      </c>
      <c r="J5" s="92" t="inlineStr">
        <is>
          <t>P</t>
        </is>
      </c>
      <c r="K5" s="92" t="n">
        <v>4</v>
      </c>
      <c r="M5" s="79" t="inlineStr">
        <is>
          <t>p_PassExt</t>
        </is>
      </c>
      <c r="N5" s="93" t="n">
        <v>24</v>
      </c>
      <c r="O5" s="94" t="inlineStr">
        <is>
          <t>Minimum external marks (out of 60) to pass</t>
        </is>
      </c>
    </row>
    <row r="6">
      <c r="A6" s="79" t="inlineStr">
        <is>
          <t>ME</t>
        </is>
      </c>
      <c r="C6" s="79" t="inlineStr">
        <is>
          <t>ECE</t>
        </is>
      </c>
      <c r="E6" s="79" t="n">
        <v>2</v>
      </c>
      <c r="G6" s="79" t="n">
        <v>2024</v>
      </c>
      <c r="I6" s="92" t="n">
        <v>45</v>
      </c>
      <c r="J6" s="92" t="inlineStr">
        <is>
          <t>C</t>
        </is>
      </c>
      <c r="K6" s="92" t="n">
        <v>5</v>
      </c>
      <c r="M6" s="79" t="inlineStr">
        <is>
          <t>p_SgpaDiv</t>
        </is>
      </c>
      <c r="N6" s="95" t="n">
        <v>9.5</v>
      </c>
      <c r="O6" s="94" t="inlineStr">
        <is>
          <t>SGPA = Total Marks / this divisor, capped at 10 (passed students only)</t>
        </is>
      </c>
    </row>
    <row r="7">
      <c r="A7" s="79" t="inlineStr">
        <is>
          <t>CE</t>
        </is>
      </c>
      <c r="C7" s="79" t="inlineStr">
        <is>
          <t>ME</t>
        </is>
      </c>
      <c r="E7" s="79" t="n">
        <v>3</v>
      </c>
      <c r="G7" s="79" t="n">
        <v>2025</v>
      </c>
      <c r="I7" s="92" t="n">
        <v>50</v>
      </c>
      <c r="J7" s="92" t="inlineStr">
        <is>
          <t>B</t>
        </is>
      </c>
      <c r="K7" s="92" t="n">
        <v>6</v>
      </c>
      <c r="M7" s="79" t="inlineStr">
        <is>
          <t>p_Distinction</t>
        </is>
      </c>
      <c r="N7" s="95" t="n">
        <v>8</v>
      </c>
      <c r="O7" s="94" t="inlineStr">
        <is>
          <t>SGPA at or above this counts as Distinction</t>
        </is>
      </c>
    </row>
    <row r="8">
      <c r="A8" s="79" t="inlineStr">
        <is>
          <t>IT</t>
        </is>
      </c>
      <c r="C8" s="79" t="inlineStr">
        <is>
          <t>CE</t>
        </is>
      </c>
      <c r="E8" s="79" t="n">
        <v>4</v>
      </c>
      <c r="G8" s="79" t="n">
        <v>2026</v>
      </c>
      <c r="I8" s="92" t="n">
        <v>60</v>
      </c>
      <c r="J8" s="92" t="inlineStr">
        <is>
          <t>B+</t>
        </is>
      </c>
      <c r="K8" s="92" t="n">
        <v>7</v>
      </c>
      <c r="M8" s="79" t="inlineStr">
        <is>
          <t>p_AttMin</t>
        </is>
      </c>
      <c r="N8" s="96" t="n">
        <v>0.75</v>
      </c>
      <c r="O8" s="94" t="inlineStr">
        <is>
          <t>Minimum attendance % for exam eligibility (below = Shortage, shown red)</t>
        </is>
      </c>
    </row>
    <row r="9">
      <c r="C9" s="79" t="inlineStr">
        <is>
          <t>IT</t>
        </is>
      </c>
      <c r="E9" s="79" t="n">
        <v>5</v>
      </c>
      <c r="I9" s="92" t="n">
        <v>70</v>
      </c>
      <c r="J9" s="92" t="inlineStr">
        <is>
          <t>A</t>
        </is>
      </c>
      <c r="K9" s="92" t="n">
        <v>8</v>
      </c>
      <c r="M9" s="79" t="inlineStr">
        <is>
          <t>p_AttGood</t>
        </is>
      </c>
      <c r="N9" s="96" t="n">
        <v>0.8</v>
      </c>
      <c r="O9" s="94" t="inlineStr">
        <is>
          <t>Attendance % for 'Good' status</t>
        </is>
      </c>
    </row>
    <row r="10">
      <c r="E10" s="79" t="n">
        <v>6</v>
      </c>
      <c r="I10" s="92" t="n">
        <v>80</v>
      </c>
      <c r="J10" s="92" t="inlineStr">
        <is>
          <t>A+</t>
        </is>
      </c>
      <c r="K10" s="92" t="n">
        <v>9</v>
      </c>
      <c r="M10" s="79" t="inlineStr">
        <is>
          <t>p_AttExc</t>
        </is>
      </c>
      <c r="N10" s="96" t="n">
        <v>0.9</v>
      </c>
      <c r="O10" s="94" t="inlineStr">
        <is>
          <t>Attendance % for 'Excellent' status</t>
        </is>
      </c>
    </row>
    <row r="11">
      <c r="E11" s="79" t="n">
        <v>7</v>
      </c>
      <c r="I11" s="92" t="n">
        <v>90</v>
      </c>
      <c r="J11" s="92" t="inlineStr">
        <is>
          <t>O</t>
        </is>
      </c>
      <c r="K11" s="92" t="n">
        <v>10</v>
      </c>
      <c r="M11" s="79" t="inlineStr">
        <is>
          <t>w_Fb</t>
        </is>
      </c>
      <c r="N11" s="93" t="n">
        <v>40</v>
      </c>
      <c r="O11" s="94" t="inlineStr">
        <is>
          <t>Faculty score weight: student feedback (out of 5)</t>
        </is>
      </c>
    </row>
    <row r="12">
      <c r="E12" s="79" t="n">
        <v>8</v>
      </c>
      <c r="M12" s="79" t="inlineStr">
        <is>
          <t>w_Pass</t>
        </is>
      </c>
      <c r="N12" s="93" t="n">
        <v>30</v>
      </c>
      <c r="O12" s="94" t="inlineStr">
        <is>
          <t>Faculty score weight: student pass rate</t>
        </is>
      </c>
    </row>
    <row r="13">
      <c r="M13" s="79" t="inlineStr">
        <is>
          <t>w_Res</t>
        </is>
      </c>
      <c r="N13" s="93" t="n">
        <v>20</v>
      </c>
      <c r="O13" s="94" t="inlineStr">
        <is>
          <t>Faculty score weight: research papers (capped)</t>
        </is>
      </c>
    </row>
    <row r="14">
      <c r="M14" s="79" t="inlineStr">
        <is>
          <t>w_Exp</t>
        </is>
      </c>
      <c r="N14" s="93" t="n">
        <v>10</v>
      </c>
      <c r="O14" s="94" t="inlineStr">
        <is>
          <t>Faculty score weight: experience (capped)</t>
        </is>
      </c>
    </row>
    <row r="15">
      <c r="M15" s="79" t="inlineStr">
        <is>
          <t>p_ResCap</t>
        </is>
      </c>
      <c r="N15" s="93" t="n">
        <v>10</v>
      </c>
      <c r="O15" s="94" t="inlineStr">
        <is>
          <t>Research papers needed for full research score</t>
        </is>
      </c>
    </row>
    <row r="16">
      <c r="M16" s="79" t="inlineStr">
        <is>
          <t>p_ExpCap</t>
        </is>
      </c>
      <c r="N16" s="93" t="n">
        <v>20</v>
      </c>
      <c r="O16" s="94" t="inlineStr">
        <is>
          <t>Years of experience needed for full experience score</t>
        </is>
      </c>
    </row>
    <row r="17">
      <c r="M17" s="79" t="inlineStr">
        <is>
          <t>p_Rate1</t>
        </is>
      </c>
      <c r="N17" s="93" t="n">
        <v>85</v>
      </c>
      <c r="O17" s="94" t="inlineStr">
        <is>
          <t>Faculty score for 'Outstanding'</t>
        </is>
      </c>
    </row>
    <row r="18">
      <c r="M18" s="79" t="inlineStr">
        <is>
          <t>p_Rate2</t>
        </is>
      </c>
      <c r="N18" s="93" t="n">
        <v>75</v>
      </c>
      <c r="O18" s="94" t="inlineStr">
        <is>
          <t>Faculty score for 'Very Good'</t>
        </is>
      </c>
    </row>
    <row r="19">
      <c r="M19" s="79" t="inlineStr">
        <is>
          <t>p_Rate3</t>
        </is>
      </c>
      <c r="N19" s="93" t="n">
        <v>65</v>
      </c>
      <c r="O19" s="94" t="inlineStr">
        <is>
          <t>Faculty score for 'Good' (below = Needs Improvement)</t>
        </is>
      </c>
    </row>
    <row r="20">
      <c r="M20" s="79" t="inlineStr">
        <is>
          <t>p_CoursePass</t>
        </is>
      </c>
      <c r="N20" s="96" t="n">
        <v>0.85</v>
      </c>
      <c r="O20" s="94" t="inlineStr">
        <is>
          <t>Course pass rate below this is highlighted amber</t>
        </is>
      </c>
    </row>
    <row r="22">
      <c r="A22" s="75" t="inlineStr">
        <is>
          <t>« Back to Overview</t>
        </is>
      </c>
      <c r="M22" s="76" t="inlineStr">
        <is>
          <t>Year = calendar year in which the academic year / placement batch ends (2026 = AY 2025-26).</t>
        </is>
      </c>
    </row>
    <row r="23">
      <c r="M23" s="76" t="inlineStr">
        <is>
          <t>Yellow cells are assumptions (blue = editable inputs).</t>
        </is>
      </c>
    </row>
  </sheetData>
  <hyperlinks>
    <hyperlink ref="A22" location="'Overview'!A1" display="« Back to Overview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A1:I176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97" t="inlineStr">
        <is>
          <t>Calc - chart data and filter criteria (all live formulas, do not edit)</t>
        </is>
      </c>
    </row>
    <row r="2">
      <c r="A2" s="75" t="inlineStr">
        <is>
          <t>« Back to Overview</t>
        </is>
      </c>
    </row>
    <row r="3">
      <c r="A3" s="98" t="inlineStr">
        <is>
          <t>Filter</t>
        </is>
      </c>
      <c r="B3" s="98" t="inlineStr">
        <is>
          <t>Selected on dashboard</t>
        </is>
      </c>
      <c r="C3" s="98" t="inlineStr">
        <is>
          <t>Criteria used in formulas</t>
        </is>
      </c>
    </row>
    <row r="4">
      <c r="A4" s="79" t="inlineStr">
        <is>
          <t>Student Dashboard - Branch</t>
        </is>
      </c>
      <c r="B4" s="79" t="str">
        <f>fSt_B</f>
        <v>All</v>
      </c>
      <c r="C4" s="79" t="str">
        <f>IF(fSt_B="All","*",fSt_B)</f>
        <v>*</v>
      </c>
    </row>
    <row r="5">
      <c r="A5" s="79" t="inlineStr">
        <is>
          <t>Student Dashboard - Semester</t>
        </is>
      </c>
      <c r="B5" s="79" t="str">
        <f>fSt_S</f>
        <v>All</v>
      </c>
      <c r="C5" s="79" t="str">
        <f>IF(fSt_S="All","&gt;0",fSt_S)</f>
        <v>&gt;0</v>
      </c>
    </row>
    <row r="6">
      <c r="A6" s="79" t="inlineStr">
        <is>
          <t>Student Dashboard - Year</t>
        </is>
      </c>
      <c r="B6" s="79" t="str">
        <f>fSt_Y</f>
        <v>All</v>
      </c>
      <c r="C6" s="79" t="str">
        <f>IF(fSt_Y="All","&gt;0",fSt_Y)</f>
        <v>&gt;0</v>
      </c>
    </row>
    <row r="7">
      <c r="A7" s="79" t="inlineStr">
        <is>
          <t>Attendance Dashboard - Branch</t>
        </is>
      </c>
      <c r="B7" s="79" t="str">
        <f>fAt_B</f>
        <v>All</v>
      </c>
      <c r="C7" s="79" t="str">
        <f>IF(fAt_B="All","*",fAt_B)</f>
        <v>*</v>
      </c>
    </row>
    <row r="8">
      <c r="A8" s="79" t="inlineStr">
        <is>
          <t>Attendance Dashboard - Semester</t>
        </is>
      </c>
      <c r="B8" s="79" t="str">
        <f>fAt_S</f>
        <v>All</v>
      </c>
      <c r="C8" s="79" t="str">
        <f>IF(fAt_S="All","&gt;0",fAt_S)</f>
        <v>&gt;0</v>
      </c>
    </row>
    <row r="9">
      <c r="A9" s="79" t="inlineStr">
        <is>
          <t>Attendance Dashboard - Year</t>
        </is>
      </c>
      <c r="B9" s="79" t="str">
        <f>fAt_Y</f>
        <v>All</v>
      </c>
      <c r="C9" s="79" t="str">
        <f>IF(fAt_Y="All","&gt;0",fAt_Y)</f>
        <v>&gt;0</v>
      </c>
    </row>
    <row r="10">
      <c r="A10" s="79" t="inlineStr">
        <is>
          <t>Course Dashboard - Branch</t>
        </is>
      </c>
      <c r="B10" s="79" t="str">
        <f>fCo_B</f>
        <v>All</v>
      </c>
      <c r="C10" s="79" t="str">
        <f>IF(fCo_B="All","*",fCo_B)</f>
        <v>*</v>
      </c>
    </row>
    <row r="11">
      <c r="A11" s="79" t="inlineStr">
        <is>
          <t>Course Dashboard - Semester</t>
        </is>
      </c>
      <c r="B11" s="79" t="str">
        <f>fCo_S</f>
        <v>All</v>
      </c>
      <c r="C11" s="79" t="str">
        <f>IF(fCo_S="All","&gt;0",fCo_S)</f>
        <v>&gt;0</v>
      </c>
    </row>
    <row r="12">
      <c r="A12" s="79" t="inlineStr">
        <is>
          <t>Course Dashboard - Year</t>
        </is>
      </c>
      <c r="B12" s="79" t="str">
        <f>fCo_Y</f>
        <v>All</v>
      </c>
      <c r="C12" s="79" t="str">
        <f>IF(fCo_Y="All","&gt;0",fCo_Y)</f>
        <v>&gt;0</v>
      </c>
    </row>
    <row r="13">
      <c r="A13" s="79" t="inlineStr">
        <is>
          <t>Faculty Dashboard - Branch</t>
        </is>
      </c>
      <c r="B13" s="79" t="str">
        <f>fFa_B</f>
        <v>All</v>
      </c>
      <c r="C13" s="79" t="str">
        <f>IF(fFa_B="All","*",fFa_B)</f>
        <v>*</v>
      </c>
    </row>
    <row r="14">
      <c r="A14" s="79" t="inlineStr">
        <is>
          <t>Faculty Dashboard - Year</t>
        </is>
      </c>
      <c r="B14" s="79" t="str">
        <f>fFa_Y</f>
        <v>All</v>
      </c>
      <c r="C14" s="79" t="str">
        <f>IF(fFa_Y="All","&gt;0",fFa_Y)</f>
        <v>&gt;0</v>
      </c>
    </row>
    <row r="15">
      <c r="A15" s="79" t="inlineStr">
        <is>
          <t>Placement Dashboard - Branch</t>
        </is>
      </c>
      <c r="B15" s="79" t="str">
        <f>fPl_B</f>
        <v>All</v>
      </c>
      <c r="C15" s="79" t="str">
        <f>IF(fPl_B="All","*",fPl_B)</f>
        <v>*</v>
      </c>
    </row>
    <row r="16">
      <c r="A16" s="79" t="inlineStr">
        <is>
          <t>Placement Dashboard - Year</t>
        </is>
      </c>
      <c r="B16" s="79" t="str">
        <f>fPl_Y</f>
        <v>All</v>
      </c>
      <c r="C16" s="79" t="str">
        <f>IF(fPl_Y="All","&gt;0",fPl_Y)</f>
        <v>&gt;0</v>
      </c>
    </row>
    <row r="17">
      <c r="A17" s="79" t="inlineStr">
        <is>
          <t>Overview - Branch</t>
        </is>
      </c>
      <c r="B17" s="79" t="str">
        <f>fOv_B</f>
        <v>All</v>
      </c>
      <c r="C17" s="79" t="str">
        <f>IF(fOv_B="All","*",fOv_B)</f>
        <v>*</v>
      </c>
    </row>
    <row r="18">
      <c r="A18" s="79" t="inlineStr">
        <is>
          <t>Overview - Year</t>
        </is>
      </c>
      <c r="B18" s="79" t="str">
        <f>fOv_Y</f>
        <v>All</v>
      </c>
      <c r="C18" s="79" t="str">
        <f>IF(fOv_Y="All","&gt;0",fOv_Y)</f>
        <v>&gt;0</v>
      </c>
    </row>
    <row r="21">
      <c r="A21" s="99" t="inlineStr">
        <is>
          <t>Students - by Branch (Semester &amp; Year filters)</t>
        </is>
      </c>
    </row>
    <row r="22">
      <c r="A22" s="100" t="inlineStr">
        <is>
          <t>Branch</t>
        </is>
      </c>
      <c r="B22" s="100" t="inlineStr">
        <is>
          <t>Avg SGPA (passed)</t>
        </is>
      </c>
      <c r="C22" s="100" t="inlineStr">
        <is>
          <t>Pass Rate</t>
        </is>
      </c>
    </row>
    <row r="23">
      <c r="A23" s="79" t="str">
        <f>Lists!$A$4</f>
        <v>CSE</v>
      </c>
      <c r="B23" s="101">
        <f>IFERROR(AVERAGEIFS(tblStudents[SGPA],tblStudents[Branch],$A23,tblStudents[Semester],cSt_S,tblStudents[Year],cSt_Y,tblStudents[Result],"Pass"),0)</f>
        <v>7.7425</v>
      </c>
      <c r="C23" s="102">
        <f>IFERROR(COUNTIFS(tblStudents[Branch],$A23,tblStudents[Semester],cSt_S,tblStudents[Year],cSt_Y,tblStudents[Result],"Pass")/COUNTIFS(tblStudents[Branch],$A23,tblStudents[Semester],cSt_S,tblStudents[Year],cSt_Y),0)</f>
        <v>0.903225806451613</v>
      </c>
    </row>
    <row r="24">
      <c r="A24" s="79" t="str">
        <f>Lists!$A$5</f>
        <v>ECE</v>
      </c>
      <c r="B24" s="101">
        <f>IFERROR(AVERAGEIFS(tblStudents[SGPA],tblStudents[Branch],$A24,tblStudents[Semester],cSt_S,tblStudents[Year],cSt_Y,tblStudents[Result],"Pass"),0)</f>
        <v>7.43040816326531</v>
      </c>
      <c r="C24" s="102">
        <f>IFERROR(COUNTIFS(tblStudents[Branch],$A24,tblStudents[Semester],cSt_S,tblStudents[Year],cSt_Y,tblStudents[Result],"Pass")/COUNTIFS(tblStudents[Branch],$A24,tblStudents[Semester],cSt_S,tblStudents[Year],cSt_Y),0)</f>
        <v>0.907407407407407</v>
      </c>
    </row>
    <row r="25">
      <c r="A25" s="79" t="str">
        <f>Lists!$A$6</f>
        <v>ME</v>
      </c>
      <c r="B25" s="101">
        <f>IFERROR(AVERAGEIFS(tblStudents[SGPA],tblStudents[Branch],$A25,tblStudents[Semester],cSt_S,tblStudents[Year],cSt_Y,tblStudents[Result],"Pass"),0)</f>
        <v>7.05225</v>
      </c>
      <c r="C25" s="102">
        <f>IFERROR(COUNTIFS(tblStudents[Branch],$A25,tblStudents[Semester],cSt_S,tblStudents[Year],cSt_Y,tblStudents[Result],"Pass")/COUNTIFS(tblStudents[Branch],$A25,tblStudents[Semester],cSt_S,tblStudents[Year],cSt_Y),0)</f>
        <v>0.816326530612245</v>
      </c>
    </row>
    <row r="26">
      <c r="A26" s="79" t="str">
        <f>Lists!$A$7</f>
        <v>CE</v>
      </c>
      <c r="B26" s="101">
        <f>IFERROR(AVERAGEIFS(tblStudents[SGPA],tblStudents[Branch],$A26,tblStudents[Semester],cSt_S,tblStudents[Year],cSt_Y,tblStudents[Result],"Pass"),0)</f>
        <v>7.12029411764706</v>
      </c>
      <c r="C26" s="102">
        <f>IFERROR(COUNTIFS(tblStudents[Branch],$A26,tblStudents[Semester],cSt_S,tblStudents[Year],cSt_Y,tblStudents[Result],"Pass")/COUNTIFS(tblStudents[Branch],$A26,tblStudents[Semester],cSt_S,tblStudents[Year],cSt_Y),0)</f>
        <v>0.918918918918919</v>
      </c>
    </row>
    <row r="27">
      <c r="A27" s="79" t="str">
        <f>Lists!$A$8</f>
        <v>IT</v>
      </c>
      <c r="B27" s="101">
        <f>IFERROR(AVERAGEIFS(tblStudents[SGPA],tblStudents[Branch],$A27,tblStudents[Semester],cSt_S,tblStudents[Year],cSt_Y,tblStudents[Result],"Pass"),0)</f>
        <v>7.18428571428571</v>
      </c>
      <c r="C27" s="102">
        <f>IFERROR(COUNTIFS(tblStudents[Branch],$A27,tblStudents[Semester],cSt_S,tblStudents[Year],cSt_Y,tblStudents[Result],"Pass")/COUNTIFS(tblStudents[Branch],$A27,tblStudents[Semester],cSt_S,tblStudents[Year],cSt_Y),0)</f>
        <v>0.921052631578947</v>
      </c>
    </row>
    <row r="30">
      <c r="A30" s="99" t="inlineStr">
        <is>
          <t>Students - by Semester (Branch &amp; Year filters)</t>
        </is>
      </c>
    </row>
    <row r="31">
      <c r="A31" s="100" t="inlineStr">
        <is>
          <t>Semester</t>
        </is>
      </c>
      <c r="B31" s="100" t="inlineStr">
        <is>
          <t>Pass Rate</t>
        </is>
      </c>
    </row>
    <row r="32">
      <c r="A32" s="79">
        <f>Lists!$E$5</f>
        <v>1</v>
      </c>
      <c r="B32" s="102">
        <f>IFERROR(COUNTIFS(tblStudents[Semester],$A32,tblStudents[Branch],cSt_B,tblStudents[Year],cSt_Y,tblStudents[Result],"Pass")/COUNTIFS(tblStudents[Semester],$A32,tblStudents[Branch],cSt_B,tblStudents[Year],cSt_Y),0)</f>
        <v>0.837837837837838</v>
      </c>
    </row>
    <row r="33">
      <c r="A33" s="79">
        <f>Lists!$E$6</f>
        <v>2</v>
      </c>
      <c r="B33" s="102">
        <f>IFERROR(COUNTIFS(tblStudents[Semester],$A33,tblStudents[Branch],cSt_B,tblStudents[Year],cSt_Y,tblStudents[Result],"Pass")/COUNTIFS(tblStudents[Semester],$A33,tblStudents[Branch],cSt_B,tblStudents[Year],cSt_Y),0)</f>
        <v>0.888888888888889</v>
      </c>
    </row>
    <row r="34">
      <c r="A34" s="79">
        <f>Lists!$E$7</f>
        <v>3</v>
      </c>
      <c r="B34" s="102">
        <f>IFERROR(COUNTIFS(tblStudents[Semester],$A34,tblStudents[Branch],cSt_B,tblStudents[Year],cSt_Y,tblStudents[Result],"Pass")/COUNTIFS(tblStudents[Semester],$A34,tblStudents[Branch],cSt_B,tblStudents[Year],cSt_Y),0)</f>
        <v>0.846153846153846</v>
      </c>
    </row>
    <row r="35">
      <c r="A35" s="79">
        <f>Lists!$E$8</f>
        <v>4</v>
      </c>
      <c r="B35" s="102">
        <f>IFERROR(COUNTIFS(tblStudents[Semester],$A35,tblStudents[Branch],cSt_B,tblStudents[Year],cSt_Y,tblStudents[Result],"Pass")/COUNTIFS(tblStudents[Semester],$A35,tblStudents[Branch],cSt_B,tblStudents[Year],cSt_Y),0)</f>
        <v>0.916666666666667</v>
      </c>
    </row>
    <row r="36">
      <c r="A36" s="79">
        <f>Lists!$E$9</f>
        <v>5</v>
      </c>
      <c r="B36" s="102">
        <f>IFERROR(COUNTIFS(tblStudents[Semester],$A36,tblStudents[Branch],cSt_B,tblStudents[Year],cSt_Y,tblStudents[Result],"Pass")/COUNTIFS(tblStudents[Semester],$A36,tblStudents[Branch],cSt_B,tblStudents[Year],cSt_Y),0)</f>
        <v>0.967741935483871</v>
      </c>
    </row>
    <row r="37">
      <c r="A37" s="79">
        <f>Lists!$E$10</f>
        <v>6</v>
      </c>
      <c r="B37" s="102">
        <f>IFERROR(COUNTIFS(tblStudents[Semester],$A37,tblStudents[Branch],cSt_B,tblStudents[Year],cSt_Y,tblStudents[Result],"Pass")/COUNTIFS(tblStudents[Semester],$A37,tblStudents[Branch],cSt_B,tblStudents[Year],cSt_Y),0)</f>
        <v>0.833333333333333</v>
      </c>
    </row>
    <row r="38">
      <c r="A38" s="79">
        <f>Lists!$E$11</f>
        <v>7</v>
      </c>
      <c r="B38" s="102">
        <f>IFERROR(COUNTIFS(tblStudents[Semester],$A38,tblStudents[Branch],cSt_B,tblStudents[Year],cSt_Y,tblStudents[Result],"Pass")/COUNTIFS(tblStudents[Semester],$A38,tblStudents[Branch],cSt_B,tblStudents[Year],cSt_Y),0)</f>
        <v>0.918918918918919</v>
      </c>
    </row>
    <row r="39">
      <c r="A39" s="79">
        <f>Lists!$E$12</f>
        <v>8</v>
      </c>
      <c r="B39" s="102">
        <f>IFERROR(COUNTIFS(tblStudents[Semester],$A39,tblStudents[Branch],cSt_B,tblStudents[Year],cSt_Y,tblStudents[Result],"Pass")/COUNTIFS(tblStudents[Semester],$A39,tblStudents[Branch],cSt_B,tblStudents[Year],cSt_Y),0)</f>
        <v>0.928571428571429</v>
      </c>
    </row>
    <row r="42">
      <c r="A42" s="99" t="inlineStr">
        <is>
          <t>Students - grade distribution (all filters)</t>
        </is>
      </c>
    </row>
    <row r="43">
      <c r="A43" s="100" t="inlineStr">
        <is>
          <t>Grade</t>
        </is>
      </c>
      <c r="B43" s="100" t="inlineStr">
        <is>
          <t>Students</t>
        </is>
      </c>
    </row>
    <row r="44">
      <c r="A44" s="79" t="inlineStr">
        <is>
          <t>O</t>
        </is>
      </c>
      <c r="B44" s="103">
        <f>COUNTIFS(tblStudents[Grade],$A44,tblStudents[Branch],cSt_B,tblStudents[Semester],cSt_S,tblStudents[Year],cSt_Y)</f>
        <v>16</v>
      </c>
    </row>
    <row r="45">
      <c r="A45" s="79" t="inlineStr">
        <is>
          <t>A+</t>
        </is>
      </c>
      <c r="B45" s="103">
        <f>COUNTIFS(tblStudents[Grade],$A45,tblStudents[Branch],cSt_B,tblStudents[Semester],cSt_S,tblStudents[Year],cSt_Y)</f>
        <v>25</v>
      </c>
    </row>
    <row r="46">
      <c r="A46" s="79" t="inlineStr">
        <is>
          <t>A</t>
        </is>
      </c>
      <c r="B46" s="103">
        <f>COUNTIFS(tblStudents[Grade],$A46,tblStudents[Branch],cSt_B,tblStudents[Semester],cSt_S,tblStudents[Year],cSt_Y)</f>
        <v>64</v>
      </c>
    </row>
    <row r="47">
      <c r="A47" s="79" t="inlineStr">
        <is>
          <t>B+</t>
        </is>
      </c>
      <c r="B47" s="103">
        <f>COUNTIFS(tblStudents[Grade],$A47,tblStudents[Branch],cSt_B,tblStudents[Semester],cSt_S,tblStudents[Year],cSt_Y)</f>
        <v>64</v>
      </c>
    </row>
    <row r="48">
      <c r="A48" s="79" t="inlineStr">
        <is>
          <t>B</t>
        </is>
      </c>
      <c r="B48" s="103">
        <f>COUNTIFS(tblStudents[Grade],$A48,tblStudents[Branch],cSt_B,tblStudents[Semester],cSt_S,tblStudents[Year],cSt_Y)</f>
        <v>41</v>
      </c>
    </row>
    <row r="49">
      <c r="A49" s="79" t="inlineStr">
        <is>
          <t>C</t>
        </is>
      </c>
      <c r="B49" s="103">
        <f>COUNTIFS(tblStudents[Grade],$A49,tblStudents[Branch],cSt_B,tblStudents[Semester],cSt_S,tblStudents[Year],cSt_Y)</f>
        <v>3</v>
      </c>
    </row>
    <row r="50">
      <c r="A50" s="79" t="inlineStr">
        <is>
          <t>P</t>
        </is>
      </c>
      <c r="B50" s="103">
        <f>COUNTIFS(tblStudents[Grade],$A50,tblStudents[Branch],cSt_B,tblStudents[Semester],cSt_S,tblStudents[Year],cSt_Y)</f>
        <v>1</v>
      </c>
    </row>
    <row r="51">
      <c r="A51" s="79" t="inlineStr">
        <is>
          <t>F</t>
        </is>
      </c>
      <c r="B51" s="103">
        <f>COUNTIFS(tblStudents[Grade],$A51,tblStudents[Branch],cSt_B,tblStudents[Semester],cSt_S,tblStudents[Year],cSt_Y)</f>
        <v>26</v>
      </c>
    </row>
    <row r="54">
      <c r="A54" s="99" t="inlineStr">
        <is>
          <t>Attendance - by Branch (Semester &amp; Year filters)</t>
        </is>
      </c>
    </row>
    <row r="55">
      <c r="A55" s="100" t="inlineStr">
        <is>
          <t>Branch</t>
        </is>
      </c>
      <c r="B55" s="100" t="inlineStr">
        <is>
          <t>Avg Attendance</t>
        </is>
      </c>
    </row>
    <row r="56">
      <c r="A56" s="79" t="str">
        <f>Lists!$A$4</f>
        <v>CSE</v>
      </c>
      <c r="B56" s="102">
        <f>IFERROR(AVERAGEIFS(tblAttendance[Attendance %],tblAttendance[Branch],$A56,tblAttendance[Semester],cAt_S,tblAttendance[Year],cAt_Y),0)</f>
        <v>0.854256565962461</v>
      </c>
    </row>
    <row r="57">
      <c r="A57" s="79" t="str">
        <f>Lists!$A$5</f>
        <v>ECE</v>
      </c>
      <c r="B57" s="102">
        <f>IFERROR(AVERAGEIFS(tblAttendance[Attendance %],tblAttendance[Branch],$A57,tblAttendance[Semester],cAt_S,tblAttendance[Year],cAt_Y),0)</f>
        <v>0.840526394042872</v>
      </c>
    </row>
    <row r="58">
      <c r="A58" s="79" t="str">
        <f>Lists!$A$6</f>
        <v>ME</v>
      </c>
      <c r="B58" s="102">
        <f>IFERROR(AVERAGEIFS(tblAttendance[Attendance %],tblAttendance[Branch],$A58,tblAttendance[Semester],cAt_S,tblAttendance[Year],cAt_Y),0)</f>
        <v>0.801402433504551</v>
      </c>
    </row>
    <row r="59">
      <c r="A59" s="79" t="str">
        <f>Lists!$A$7</f>
        <v>CE</v>
      </c>
      <c r="B59" s="102">
        <f>IFERROR(AVERAGEIFS(tblAttendance[Attendance %],tblAttendance[Branch],$A59,tblAttendance[Semester],cAt_S,tblAttendance[Year],cAt_Y),0)</f>
        <v>0.828719587942786</v>
      </c>
    </row>
    <row r="60">
      <c r="A60" s="79" t="str">
        <f>Lists!$A$8</f>
        <v>IT</v>
      </c>
      <c r="B60" s="102">
        <f>IFERROR(AVERAGEIFS(tblAttendance[Attendance %],tblAttendance[Branch],$A60,tblAttendance[Semester],cAt_S,tblAttendance[Year],cAt_Y),0)</f>
        <v>0.842114652838763</v>
      </c>
    </row>
    <row r="63">
      <c r="A63" s="99" t="inlineStr">
        <is>
          <t>Attendance - by Semester (Branch &amp; Year filters)</t>
        </is>
      </c>
    </row>
    <row r="64">
      <c r="A64" s="100" t="inlineStr">
        <is>
          <t>Semester</t>
        </is>
      </c>
      <c r="B64" s="100" t="inlineStr">
        <is>
          <t>Avg Attendance</t>
        </is>
      </c>
    </row>
    <row r="65">
      <c r="A65" s="79">
        <f>Lists!$E$5</f>
        <v>1</v>
      </c>
      <c r="B65" s="102">
        <f>IFERROR(AVERAGEIFS(tblAttendance[Attendance %],tblAttendance[Semester],$A65,tblAttendance[Branch],cAt_B,tblAttendance[Year],cAt_Y),0)</f>
        <v>0.828317598755804</v>
      </c>
    </row>
    <row r="66">
      <c r="A66" s="79">
        <f>Lists!$E$6</f>
        <v>2</v>
      </c>
      <c r="B66" s="102">
        <f>IFERROR(AVERAGEIFS(tblAttendance[Attendance %],tblAttendance[Semester],$A66,tblAttendance[Branch],cAt_B,tblAttendance[Year],cAt_Y),0)</f>
        <v>0.840674270445311</v>
      </c>
    </row>
    <row r="67">
      <c r="A67" s="79">
        <f>Lists!$E$7</f>
        <v>3</v>
      </c>
      <c r="B67" s="102">
        <f>IFERROR(AVERAGEIFS(tblAttendance[Attendance %],tblAttendance[Semester],$A67,tblAttendance[Branch],cAt_B,tblAttendance[Year],cAt_Y),0)</f>
        <v>0.847486923820566</v>
      </c>
    </row>
    <row r="68">
      <c r="A68" s="79">
        <f>Lists!$E$8</f>
        <v>4</v>
      </c>
      <c r="B68" s="102">
        <f>IFERROR(AVERAGEIFS(tblAttendance[Attendance %],tblAttendance[Semester],$A68,tblAttendance[Branch],cAt_B,tblAttendance[Year],cAt_Y),0)</f>
        <v>0.822589071807953</v>
      </c>
    </row>
    <row r="69">
      <c r="A69" s="79">
        <f>Lists!$E$9</f>
        <v>5</v>
      </c>
      <c r="B69" s="102">
        <f>IFERROR(AVERAGEIFS(tblAttendance[Attendance %],tblAttendance[Semester],$A69,tblAttendance[Branch],cAt_B,tblAttendance[Year],cAt_Y),0)</f>
        <v>0.845822425952229</v>
      </c>
    </row>
    <row r="70">
      <c r="A70" s="79">
        <f>Lists!$E$10</f>
        <v>6</v>
      </c>
      <c r="B70" s="102">
        <f>IFERROR(AVERAGEIFS(tblAttendance[Attendance %],tblAttendance[Semester],$A70,tblAttendance[Branch],cAt_B,tblAttendance[Year],cAt_Y),0)</f>
        <v>0.840111880285776</v>
      </c>
    </row>
    <row r="71">
      <c r="A71" s="79">
        <f>Lists!$E$11</f>
        <v>7</v>
      </c>
      <c r="B71" s="102">
        <f>IFERROR(AVERAGEIFS(tblAttendance[Attendance %],tblAttendance[Semester],$A71,tblAttendance[Branch],cAt_B,tblAttendance[Year],cAt_Y),0)</f>
        <v>0.827218629390539</v>
      </c>
    </row>
    <row r="72">
      <c r="A72" s="79">
        <f>Lists!$E$12</f>
        <v>8</v>
      </c>
      <c r="B72" s="102">
        <f>IFERROR(AVERAGEIFS(tblAttendance[Attendance %],tblAttendance[Semester],$A72,tblAttendance[Branch],cAt_B,tblAttendance[Year],cAt_Y),0)</f>
        <v>0.826083502578951</v>
      </c>
    </row>
    <row r="75">
      <c r="A75" s="99" t="inlineStr">
        <is>
          <t>Attendance - status mix (all filters)</t>
        </is>
      </c>
    </row>
    <row r="76">
      <c r="A76" s="100" t="inlineStr">
        <is>
          <t>Status</t>
        </is>
      </c>
      <c r="B76" s="100" t="inlineStr">
        <is>
          <t>Students</t>
        </is>
      </c>
    </row>
    <row r="77">
      <c r="A77" s="79" t="inlineStr">
        <is>
          <t>Excellent</t>
        </is>
      </c>
      <c r="B77" s="103">
        <f>COUNTIFS(tblAttendance[Status],$A77,tblAttendance[Branch],cAt_B,tblAttendance[Semester],cAt_S,tblAttendance[Year],cAt_Y)</f>
        <v>64</v>
      </c>
    </row>
    <row r="78">
      <c r="A78" s="79" t="inlineStr">
        <is>
          <t>Good</t>
        </is>
      </c>
      <c r="B78" s="103">
        <f>COUNTIFS(tblAttendance[Status],$A78,tblAttendance[Branch],cAt_B,tblAttendance[Semester],cAt_S,tblAttendance[Year],cAt_Y)</f>
        <v>89</v>
      </c>
    </row>
    <row r="79">
      <c r="A79" s="79" t="inlineStr">
        <is>
          <t>Satisfactory</t>
        </is>
      </c>
      <c r="B79" s="103">
        <f>COUNTIFS(tblAttendance[Status],$A79,tblAttendance[Branch],cAt_B,tblAttendance[Semester],cAt_S,tblAttendance[Year],cAt_Y)</f>
        <v>45</v>
      </c>
    </row>
    <row r="80">
      <c r="A80" s="79" t="inlineStr">
        <is>
          <t>Shortage</t>
        </is>
      </c>
      <c r="B80" s="103">
        <f>COUNTIFS(tblAttendance[Status],$A80,tblAttendance[Branch],cAt_B,tblAttendance[Semester],cAt_S,tblAttendance[Year],cAt_Y)</f>
        <v>42</v>
      </c>
    </row>
    <row r="83">
      <c r="A83" s="99" t="inlineStr">
        <is>
          <t>Faculty - by Department (Year filter)</t>
        </is>
      </c>
    </row>
    <row r="84">
      <c r="A84" s="100" t="inlineStr">
        <is>
          <t>Department</t>
        </is>
      </c>
      <c r="B84" s="100" t="inlineStr">
        <is>
          <t>Avg Performance Score</t>
        </is>
      </c>
    </row>
    <row r="85">
      <c r="A85" s="79" t="str">
        <f>Lists!$A$4</f>
        <v>CSE</v>
      </c>
      <c r="B85" s="104">
        <f>IFERROR(AVERAGEIFS(tblFaculty[Performance Score],tblFaculty[Department],$A85,tblFaculty[Year],cFa_Y),0)</f>
        <v>69.2666666666667</v>
      </c>
    </row>
    <row r="86">
      <c r="A86" s="79" t="str">
        <f>Lists!$A$5</f>
        <v>ECE</v>
      </c>
      <c r="B86" s="104">
        <f>IFERROR(AVERAGEIFS(tblFaculty[Performance Score],tblFaculty[Department],$A86,tblFaculty[Year],cFa_Y),0)</f>
        <v>75.8833333333333</v>
      </c>
    </row>
    <row r="87">
      <c r="A87" s="79" t="str">
        <f>Lists!$A$6</f>
        <v>ME</v>
      </c>
      <c r="B87" s="104">
        <f>IFERROR(AVERAGEIFS(tblFaculty[Performance Score],tblFaculty[Department],$A87,tblFaculty[Year],cFa_Y),0)</f>
        <v>83.1333333333333</v>
      </c>
    </row>
    <row r="88">
      <c r="A88" s="79" t="str">
        <f>Lists!$A$7</f>
        <v>CE</v>
      </c>
      <c r="B88" s="104">
        <f>IFERROR(AVERAGEIFS(tblFaculty[Performance Score],tblFaculty[Department],$A88,tblFaculty[Year],cFa_Y),0)</f>
        <v>76.7666666666667</v>
      </c>
    </row>
    <row r="89">
      <c r="A89" s="79" t="str">
        <f>Lists!$A$8</f>
        <v>IT</v>
      </c>
      <c r="B89" s="104">
        <f>IFERROR(AVERAGEIFS(tblFaculty[Performance Score],tblFaculty[Department],$A89,tblFaculty[Year],cFa_Y),0)</f>
        <v>77.2</v>
      </c>
    </row>
    <row r="92">
      <c r="A92" s="99" t="inlineStr">
        <is>
          <t>Faculty - by Year (Department filter)</t>
        </is>
      </c>
    </row>
    <row r="93">
      <c r="A93" s="100" t="inlineStr">
        <is>
          <t>Year</t>
        </is>
      </c>
      <c r="B93" s="100" t="inlineStr">
        <is>
          <t>Avg Student Feedback</t>
        </is>
      </c>
    </row>
    <row r="94">
      <c r="A94" s="103">
        <f>Lists!$G$5</f>
        <v>2023</v>
      </c>
      <c r="B94" s="101">
        <f>IFERROR(AVERAGEIFS(tblFaculty[Student Feedback],tblFaculty[Year],$A94,tblFaculty[Department],cFa_B),0)</f>
        <v>4.05625</v>
      </c>
    </row>
    <row r="95">
      <c r="A95" s="103">
        <f>Lists!$G$6</f>
        <v>2024</v>
      </c>
      <c r="B95" s="101">
        <f>IFERROR(AVERAGEIFS(tblFaculty[Student Feedback],tblFaculty[Year],$A95,tblFaculty[Department],cFa_B),0)</f>
        <v>4.03875</v>
      </c>
    </row>
    <row r="96">
      <c r="A96" s="103">
        <f>Lists!$G$7</f>
        <v>2025</v>
      </c>
      <c r="B96" s="101">
        <f>IFERROR(AVERAGEIFS(tblFaculty[Student Feedback],tblFaculty[Year],$A96,tblFaculty[Department],cFa_B),0)</f>
        <v>4.19</v>
      </c>
    </row>
    <row r="97">
      <c r="A97" s="103">
        <f>Lists!$G$8</f>
        <v>2026</v>
      </c>
      <c r="B97" s="101">
        <f>IFERROR(AVERAGEIFS(tblFaculty[Student Feedback],tblFaculty[Year],$A97,tblFaculty[Department],cFa_B),0)</f>
        <v>3.95222222222222</v>
      </c>
    </row>
    <row r="100">
      <c r="A100" s="99" t="inlineStr">
        <is>
          <t>Faculty - designation mix (Department &amp; Year filters)</t>
        </is>
      </c>
    </row>
    <row r="101">
      <c r="A101" s="100" t="inlineStr">
        <is>
          <t>Designation</t>
        </is>
      </c>
      <c r="B101" s="100" t="inlineStr">
        <is>
          <t>Faculty</t>
        </is>
      </c>
    </row>
    <row r="102">
      <c r="A102" s="79" t="inlineStr">
        <is>
          <t>Professor</t>
        </is>
      </c>
      <c r="B102" s="103">
        <f>COUNTIFS(tblFaculty[Designation],$A102,tblFaculty[Department],cFa_B,tblFaculty[Year],cFa_Y)</f>
        <v>5</v>
      </c>
    </row>
    <row r="103">
      <c r="A103" s="79" t="inlineStr">
        <is>
          <t>Associate Professor</t>
        </is>
      </c>
      <c r="B103" s="103">
        <f>COUNTIFS(tblFaculty[Designation],$A103,tblFaculty[Department],cFa_B,tblFaculty[Year],cFa_Y)</f>
        <v>8</v>
      </c>
    </row>
    <row r="104">
      <c r="A104" s="79" t="inlineStr">
        <is>
          <t>Assistant Professor</t>
        </is>
      </c>
      <c r="B104" s="103">
        <f>COUNTIFS(tblFaculty[Designation],$A104,tblFaculty[Department],cFa_B,tblFaculty[Year],cFa_Y)</f>
        <v>14</v>
      </c>
    </row>
    <row r="105">
      <c r="A105" s="79" t="inlineStr">
        <is>
          <t>Guest Lecturer</t>
        </is>
      </c>
      <c r="B105" s="103">
        <f>COUNTIFS(tblFaculty[Designation],$A105,tblFaculty[Department],cFa_B,tblFaculty[Year],cFa_Y)</f>
        <v>3</v>
      </c>
    </row>
    <row r="108">
      <c r="A108" s="99" t="inlineStr">
        <is>
          <t>Placements - by Branch (Year filter)</t>
        </is>
      </c>
    </row>
    <row r="109">
      <c r="A109" s="100" t="inlineStr">
        <is>
          <t>Branch</t>
        </is>
      </c>
      <c r="B109" s="100" t="inlineStr">
        <is>
          <t>Placement Rate</t>
        </is>
      </c>
    </row>
    <row r="110">
      <c r="A110" s="79" t="str">
        <f>Lists!$A$4</f>
        <v>CSE</v>
      </c>
      <c r="B110" s="102">
        <f>IFERROR(COUNTIFS(tblPlacements[Branch],$A110,tblPlacements[Year],cPl_Y,tblPlacements[Status],"Placed")/COUNTIFS(tblPlacements[Branch],$A110,tblPlacements[Year],cPl_Y),0)</f>
        <v>0.829268292682927</v>
      </c>
    </row>
    <row r="111">
      <c r="A111" s="79" t="str">
        <f>Lists!$A$5</f>
        <v>ECE</v>
      </c>
      <c r="B111" s="102">
        <f>IFERROR(COUNTIFS(tblPlacements[Branch],$A111,tblPlacements[Year],cPl_Y,tblPlacements[Status],"Placed")/COUNTIFS(tblPlacements[Branch],$A111,tblPlacements[Year],cPl_Y),0)</f>
        <v>0.736842105263158</v>
      </c>
    </row>
    <row r="112">
      <c r="A112" s="79" t="str">
        <f>Lists!$A$6</f>
        <v>ME</v>
      </c>
      <c r="B112" s="102">
        <f>IFERROR(COUNTIFS(tblPlacements[Branch],$A112,tblPlacements[Year],cPl_Y,tblPlacements[Status],"Placed")/COUNTIFS(tblPlacements[Branch],$A112,tblPlacements[Year],cPl_Y),0)</f>
        <v>0.681818181818182</v>
      </c>
    </row>
    <row r="113">
      <c r="A113" s="79" t="str">
        <f>Lists!$A$7</f>
        <v>CE</v>
      </c>
      <c r="B113" s="102">
        <f>IFERROR(COUNTIFS(tblPlacements[Branch],$A113,tblPlacements[Year],cPl_Y,tblPlacements[Status],"Placed")/COUNTIFS(tblPlacements[Branch],$A113,tblPlacements[Year],cPl_Y),0)</f>
        <v>0.555555555555556</v>
      </c>
    </row>
    <row r="114">
      <c r="A114" s="79" t="str">
        <f>Lists!$A$8</f>
        <v>IT</v>
      </c>
      <c r="B114" s="102">
        <f>IFERROR(COUNTIFS(tblPlacements[Branch],$A114,tblPlacements[Year],cPl_Y,tblPlacements[Status],"Placed")/COUNTIFS(tblPlacements[Branch],$A114,tblPlacements[Year],cPl_Y),0)</f>
        <v>0.870967741935484</v>
      </c>
    </row>
    <row r="117">
      <c r="A117" s="99" t="inlineStr">
        <is>
          <t>Placements - by Year (Branch filter)</t>
        </is>
      </c>
    </row>
    <row r="118">
      <c r="A118" s="100" t="inlineStr">
        <is>
          <t>Year</t>
        </is>
      </c>
      <c r="B118" s="100" t="inlineStr">
        <is>
          <t>Avg Package (LPA)</t>
        </is>
      </c>
    </row>
    <row r="119">
      <c r="A119" s="103">
        <f>Lists!$G$5</f>
        <v>2023</v>
      </c>
      <c r="B119" s="104">
        <f>IFERROR(AVERAGEIFS(tblPlacements[Package LPA],tblPlacements[Year],$A119,tblPlacements[Branch],cPl_B,tblPlacements[Status],"Placed"),0)</f>
        <v>11.6684210526316</v>
      </c>
    </row>
    <row r="120">
      <c r="A120" s="103">
        <f>Lists!$G$6</f>
        <v>2024</v>
      </c>
      <c r="B120" s="104">
        <f>IFERROR(AVERAGEIFS(tblPlacements[Package LPA],tblPlacements[Year],$A120,tblPlacements[Branch],cPl_B,tblPlacements[Status],"Placed"),0)</f>
        <v>9.26551724137931</v>
      </c>
    </row>
    <row r="121">
      <c r="A121" s="103">
        <f>Lists!$G$7</f>
        <v>2025</v>
      </c>
      <c r="B121" s="104">
        <f>IFERROR(AVERAGEIFS(tblPlacements[Package LPA],tblPlacements[Year],$A121,tblPlacements[Branch],cPl_B,tblPlacements[Status],"Placed"),0)</f>
        <v>9.50277777777778</v>
      </c>
    </row>
    <row r="122">
      <c r="A122" s="103">
        <f>Lists!$G$8</f>
        <v>2026</v>
      </c>
      <c r="B122" s="104">
        <f>IFERROR(AVERAGEIFS(tblPlacements[Package LPA],tblPlacements[Year],$A122,tblPlacements[Branch],cPl_B,tblPlacements[Status],"Placed"),0)</f>
        <v>8.91333333333333</v>
      </c>
    </row>
    <row r="125">
      <c r="A125" s="99" t="inlineStr">
        <is>
          <t>Placements - offers by sector (Branch &amp; Year filters)</t>
        </is>
      </c>
    </row>
    <row r="126">
      <c r="A126" s="100" t="inlineStr">
        <is>
          <t>Sector</t>
        </is>
      </c>
      <c r="B126" s="100" t="inlineStr">
        <is>
          <t>Offers</t>
        </is>
      </c>
    </row>
    <row r="127">
      <c r="A127" s="79" t="inlineStr">
        <is>
          <t>IT Services</t>
        </is>
      </c>
      <c r="B127" s="103">
        <f>COUNTIFS(tblPlacements[Sector],$A127,tblPlacements[Branch],cPl_B,tblPlacements[Year],cPl_Y,tblPlacements[Status],"Placed")</f>
        <v>51</v>
      </c>
    </row>
    <row r="128">
      <c r="A128" s="79" t="inlineStr">
        <is>
          <t>Product &amp; Startups</t>
        </is>
      </c>
      <c r="B128" s="103">
        <f>COUNTIFS(tblPlacements[Sector],$A128,tblPlacements[Branch],cPl_B,tblPlacements[Year],cPl_Y,tblPlacements[Status],"Placed")</f>
        <v>11</v>
      </c>
    </row>
    <row r="129">
      <c r="A129" s="79" t="inlineStr">
        <is>
          <t>Core Engineering</t>
        </is>
      </c>
      <c r="B129" s="103">
        <f>COUNTIFS(tblPlacements[Sector],$A129,tblPlacements[Branch],cPl_B,tblPlacements[Year],cPl_Y,tblPlacements[Status],"Placed")</f>
        <v>21</v>
      </c>
    </row>
    <row r="130">
      <c r="A130" s="79" t="inlineStr">
        <is>
          <t>Electronics &amp; Semiconductor</t>
        </is>
      </c>
      <c r="B130" s="103">
        <f>COUNTIFS(tblPlacements[Sector],$A130,tblPlacements[Branch],cPl_B,tblPlacements[Year],cPl_Y,tblPlacements[Status],"Placed")</f>
        <v>14</v>
      </c>
    </row>
    <row r="131">
      <c r="A131" s="79" t="inlineStr">
        <is>
          <t>Consulting &amp; Analytics</t>
        </is>
      </c>
      <c r="B131" s="103">
        <f>COUNTIFS(tblPlacements[Sector],$A131,tblPlacements[Branch],cPl_B,tblPlacements[Year],cPl_Y,tblPlacements[Status],"Placed")</f>
        <v>17</v>
      </c>
    </row>
    <row r="134">
      <c r="A134" s="99" t="inlineStr">
        <is>
          <t>Courses - pass rate by Branch (Semester &amp; Year filters)</t>
        </is>
      </c>
    </row>
    <row r="135">
      <c r="A135" s="100" t="inlineStr">
        <is>
          <t>Branch</t>
        </is>
      </c>
      <c r="B135" s="100" t="inlineStr">
        <is>
          <t>Pass Rate</t>
        </is>
      </c>
    </row>
    <row r="136">
      <c r="A136" s="79" t="str">
        <f>Lists!$A$4</f>
        <v>CSE</v>
      </c>
      <c r="B136" s="102">
        <f>IFERROR(SUMIFS(tblCourses[Passed],tblCourses[Branch],$A136,tblCourses[Semester],cCo_S,tblCourses[Year],cCo_Y)/SUMIFS(tblCourses[Enrolled],tblCourses[Branch],$A136,tblCourses[Semester],cCo_S,tblCourses[Year],cCo_Y),0)</f>
        <v>0.939285714285714</v>
      </c>
    </row>
    <row r="137">
      <c r="A137" s="79" t="str">
        <f>Lists!$A$5</f>
        <v>ECE</v>
      </c>
      <c r="B137" s="102">
        <f>IFERROR(SUMIFS(tblCourses[Passed],tblCourses[Branch],$A137,tblCourses[Semester],cCo_S,tblCourses[Year],cCo_Y)/SUMIFS(tblCourses[Enrolled],tblCourses[Branch],$A137,tblCourses[Semester],cCo_S,tblCourses[Year],cCo_Y),0)</f>
        <v>0.888111888111888</v>
      </c>
    </row>
    <row r="138">
      <c r="A138" s="79" t="str">
        <f>Lists!$A$6</f>
        <v>ME</v>
      </c>
      <c r="B138" s="102">
        <f>IFERROR(SUMIFS(tblCourses[Passed],tblCourses[Branch],$A138,tblCourses[Semester],cCo_S,tblCourses[Year],cCo_Y)/SUMIFS(tblCourses[Enrolled],tblCourses[Branch],$A138,tblCourses[Semester],cCo_S,tblCourses[Year],cCo_Y),0)</f>
        <v>0.897689768976898</v>
      </c>
    </row>
    <row r="139">
      <c r="A139" s="79" t="str">
        <f>Lists!$A$7</f>
        <v>CE</v>
      </c>
      <c r="B139" s="102">
        <f>IFERROR(SUMIFS(tblCourses[Passed],tblCourses[Branch],$A139,tblCourses[Semester],cCo_S,tblCourses[Year],cCo_Y)/SUMIFS(tblCourses[Enrolled],tblCourses[Branch],$A139,tblCourses[Semester],cCo_S,tblCourses[Year],cCo_Y),0)</f>
        <v>0.860215053763441</v>
      </c>
    </row>
    <row r="140">
      <c r="A140" s="79" t="str">
        <f>Lists!$A$8</f>
        <v>IT</v>
      </c>
      <c r="B140" s="102">
        <f>IFERROR(SUMIFS(tblCourses[Passed],tblCourses[Branch],$A140,tblCourses[Semester],cCo_S,tblCourses[Year],cCo_Y)/SUMIFS(tblCourses[Enrolled],tblCourses[Branch],$A140,tblCourses[Semester],cCo_S,tblCourses[Year],cCo_Y),0)</f>
        <v>0.898876404494382</v>
      </c>
    </row>
    <row r="143">
      <c r="A143" s="99" t="inlineStr">
        <is>
          <t>Courses - pass rate by Semester (Branch &amp; Year filters)</t>
        </is>
      </c>
    </row>
    <row r="144">
      <c r="A144" s="100" t="inlineStr">
        <is>
          <t>Semester</t>
        </is>
      </c>
      <c r="B144" s="100" t="inlineStr">
        <is>
          <t>Pass Rate</t>
        </is>
      </c>
    </row>
    <row r="145">
      <c r="A145" s="79">
        <f>Lists!$E$5</f>
        <v>1</v>
      </c>
      <c r="B145" s="102">
        <f>IFERROR(SUMIFS(tblCourses[Passed],tblCourses[Semester],$A145,tblCourses[Branch],cCo_B,tblCourses[Year],cCo_Y)/SUMIFS(tblCourses[Enrolled],tblCourses[Semester],$A145,tblCourses[Branch],cCo_B,tblCourses[Year],cCo_Y),0)</f>
        <v>0</v>
      </c>
    </row>
    <row r="146">
      <c r="A146" s="79">
        <f>Lists!$E$6</f>
        <v>2</v>
      </c>
      <c r="B146" s="102">
        <f>IFERROR(SUMIFS(tblCourses[Passed],tblCourses[Semester],$A146,tblCourses[Branch],cCo_B,tblCourses[Year],cCo_Y)/SUMIFS(tblCourses[Enrolled],tblCourses[Semester],$A146,tblCourses[Branch],cCo_B,tblCourses[Year],cCo_Y),0)</f>
        <v>0</v>
      </c>
    </row>
    <row r="147">
      <c r="A147" s="79">
        <f>Lists!$E$7</f>
        <v>3</v>
      </c>
      <c r="B147" s="102">
        <f>IFERROR(SUMIFS(tblCourses[Passed],tblCourses[Semester],$A147,tblCourses[Branch],cCo_B,tblCourses[Year],cCo_Y)/SUMIFS(tblCourses[Enrolled],tblCourses[Semester],$A147,tblCourses[Branch],cCo_B,tblCourses[Year],cCo_Y),0)</f>
        <v>0.887218045112782</v>
      </c>
    </row>
    <row r="148">
      <c r="A148" s="79">
        <f>Lists!$E$8</f>
        <v>4</v>
      </c>
      <c r="B148" s="102">
        <f>IFERROR(SUMIFS(tblCourses[Passed],tblCourses[Semester],$A148,tblCourses[Branch],cCo_B,tblCourses[Year],cCo_Y)/SUMIFS(tblCourses[Enrolled],tblCourses[Semester],$A148,tblCourses[Branch],cCo_B,tblCourses[Year],cCo_Y),0)</f>
        <v>0.897727272727273</v>
      </c>
    </row>
    <row r="149">
      <c r="A149" s="79">
        <f>Lists!$E$9</f>
        <v>5</v>
      </c>
      <c r="B149" s="102">
        <f>IFERROR(SUMIFS(tblCourses[Passed],tblCourses[Semester],$A149,tblCourses[Branch],cCo_B,tblCourses[Year],cCo_Y)/SUMIFS(tblCourses[Enrolled],tblCourses[Semester],$A149,tblCourses[Branch],cCo_B,tblCourses[Year],cCo_Y),0)</f>
        <v>0.882198952879581</v>
      </c>
    </row>
    <row r="150">
      <c r="A150" s="79">
        <f>Lists!$E$10</f>
        <v>6</v>
      </c>
      <c r="B150" s="102">
        <f>IFERROR(SUMIFS(tblCourses[Passed],tblCourses[Semester],$A150,tblCourses[Branch],cCo_B,tblCourses[Year],cCo_Y)/SUMIFS(tblCourses[Enrolled],tblCourses[Semester],$A150,tblCourses[Branch],cCo_B,tblCourses[Year],cCo_Y),0)</f>
        <v>0.912162162162162</v>
      </c>
    </row>
    <row r="151">
      <c r="A151" s="79">
        <f>Lists!$E$11</f>
        <v>7</v>
      </c>
      <c r="B151" s="102">
        <f>IFERROR(SUMIFS(tblCourses[Passed],tblCourses[Semester],$A151,tblCourses[Branch],cCo_B,tblCourses[Year],cCo_Y)/SUMIFS(tblCourses[Enrolled],tblCourses[Semester],$A151,tblCourses[Branch],cCo_B,tblCourses[Year],cCo_Y),0)</f>
        <v>0.92436974789916</v>
      </c>
    </row>
    <row r="152">
      <c r="A152" s="79">
        <f>Lists!$E$12</f>
        <v>8</v>
      </c>
      <c r="B152" s="102">
        <f>IFERROR(SUMIFS(tblCourses[Passed],tblCourses[Semester],$A152,tblCourses[Branch],cCo_B,tblCourses[Year],cCo_Y)/SUMIFS(tblCourses[Enrolled],tblCourses[Semester],$A152,tblCourses[Branch],cCo_B,tblCourses[Year],cCo_Y),0)</f>
        <v>0</v>
      </c>
    </row>
    <row r="155">
      <c r="A155" s="99" t="inlineStr">
        <is>
          <t>Courses - enrollment by type (all filters)</t>
        </is>
      </c>
    </row>
    <row r="156">
      <c r="A156" s="100" t="inlineStr">
        <is>
          <t>Type</t>
        </is>
      </c>
      <c r="B156" s="100" t="inlineStr">
        <is>
          <t>Enrollment</t>
        </is>
      </c>
    </row>
    <row r="157">
      <c r="A157" s="79" t="inlineStr">
        <is>
          <t>Core</t>
        </is>
      </c>
      <c r="B157" s="103">
        <f>SUMIFS(tblCourses[Enrolled],tblCourses[Type],$A157,tblCourses[Branch],cCo_B,tblCourses[Semester],cCo_S,tblCourses[Year],cCo_Y)</f>
        <v>819</v>
      </c>
    </row>
    <row r="158">
      <c r="A158" s="79" t="inlineStr">
        <is>
          <t>Elective</t>
        </is>
      </c>
      <c r="B158" s="103">
        <f>SUMIFS(tblCourses[Enrolled],tblCourses[Type],$A158,tblCourses[Branch],cCo_B,tblCourses[Semester],cCo_S,tblCourses[Year],cCo_Y)</f>
        <v>415</v>
      </c>
    </row>
    <row r="159">
      <c r="A159" s="79" t="inlineStr">
        <is>
          <t>Lab</t>
        </is>
      </c>
      <c r="B159" s="103">
        <f>SUMIFS(tblCourses[Enrolled],tblCourses[Type],$A159,tblCourses[Branch],cCo_B,tblCourses[Semester],cCo_S,tblCourses[Year],cCo_Y)</f>
        <v>181</v>
      </c>
    </row>
    <row r="162">
      <c r="A162" s="99" t="inlineStr">
        <is>
          <t>Overview - by Branch (Year filter)</t>
        </is>
      </c>
    </row>
    <row r="163">
      <c r="A163" s="100" t="inlineStr">
        <is>
          <t>Branch</t>
        </is>
      </c>
      <c r="B163" s="100" t="inlineStr">
        <is>
          <t>Students</t>
        </is>
      </c>
      <c r="C163" s="100" t="inlineStr">
        <is>
          <t>Pass Rate</t>
        </is>
      </c>
      <c r="D163" s="100" t="inlineStr">
        <is>
          <t>Attendance</t>
        </is>
      </c>
      <c r="E163" s="100" t="inlineStr">
        <is>
          <t>Placement Rate</t>
        </is>
      </c>
      <c r="F163" s="100" t="inlineStr">
        <is>
          <t>Faculty Score</t>
        </is>
      </c>
      <c r="G163" s="100" t="inlineStr">
        <is>
          <t>Course Pass Rate</t>
        </is>
      </c>
      <c r="H163" s="100" t="inlineStr">
        <is>
          <t>Composite</t>
        </is>
      </c>
      <c r="I163" s="100" t="inlineStr">
        <is>
          <t>Rank Key</t>
        </is>
      </c>
    </row>
    <row r="164">
      <c r="A164" s="79" t="str">
        <f>Lists!$A$4</f>
        <v>CSE</v>
      </c>
      <c r="B164" s="103">
        <f>COUNTIFS(tblStudents[Branch],$A164,tblStudents[Year],cOv_Y)</f>
        <v>62</v>
      </c>
      <c r="C164" s="102">
        <f>IFERROR(COUNTIFS(tblStudents[Branch],$A164,tblStudents[Year],cOv_Y,tblStudents[Result],"Pass")/B164,0)</f>
        <v>0.903225806451613</v>
      </c>
      <c r="D164" s="102">
        <f>IFERROR(AVERAGEIFS(tblAttendance[Attendance %],tblAttendance[Branch],$A164,tblAttendance[Year],cOv_Y),0)</f>
        <v>0.854256565962461</v>
      </c>
      <c r="E164" s="102">
        <f>IFERROR(COUNTIFS(tblPlacements[Branch],$A164,tblPlacements[Year],cOv_Y,tblPlacements[Status],"Placed")/COUNTIFS(tblPlacements[Branch],$A164,tblPlacements[Year],cOv_Y),0)</f>
        <v>0.829268292682927</v>
      </c>
      <c r="F164" s="102">
        <f>IFERROR(AVERAGEIFS(tblFaculty[Performance Score],tblFaculty[Department],$A164,tblFaculty[Year],cOv_Y)/100,0)</f>
        <v>0.692666666666667</v>
      </c>
      <c r="G164" s="102">
        <f>IFERROR(SUMIFS(tblCourses[Passed],tblCourses[Branch],$A164,tblCourses[Year],cOv_Y)/SUMIFS(tblCourses[Enrolled],tblCourses[Branch],$A164,tblCourses[Year],cOv_Y),0)</f>
        <v>0.939285714285714</v>
      </c>
      <c r="H164" s="102">
        <f>AVERAGE(C164,D164,E164)</f>
        <v>0.862250221699</v>
      </c>
      <c r="I164" s="82">
        <f>H164+ROW()/1000000000</f>
        <v>0.862250385699</v>
      </c>
    </row>
    <row r="165">
      <c r="A165" s="79" t="str">
        <f>Lists!$A$5</f>
        <v>ECE</v>
      </c>
      <c r="B165" s="103">
        <f>COUNTIFS(tblStudents[Branch],$A165,tblStudents[Year],cOv_Y)</f>
        <v>54</v>
      </c>
      <c r="C165" s="102">
        <f>IFERROR(COUNTIFS(tblStudents[Branch],$A165,tblStudents[Year],cOv_Y,tblStudents[Result],"Pass")/B165,0)</f>
        <v>0.907407407407407</v>
      </c>
      <c r="D165" s="102">
        <f>IFERROR(AVERAGEIFS(tblAttendance[Attendance %],tblAttendance[Branch],$A165,tblAttendance[Year],cOv_Y),0)</f>
        <v>0.840526394042872</v>
      </c>
      <c r="E165" s="102">
        <f>IFERROR(COUNTIFS(tblPlacements[Branch],$A165,tblPlacements[Year],cOv_Y,tblPlacements[Status],"Placed")/COUNTIFS(tblPlacements[Branch],$A165,tblPlacements[Year],cOv_Y),0)</f>
        <v>0.736842105263158</v>
      </c>
      <c r="F165" s="102">
        <f>IFERROR(AVERAGEIFS(tblFaculty[Performance Score],tblFaculty[Department],$A165,tblFaculty[Year],cOv_Y)/100,0)</f>
        <v>0.758833333333333</v>
      </c>
      <c r="G165" s="102">
        <f>IFERROR(SUMIFS(tblCourses[Passed],tblCourses[Branch],$A165,tblCourses[Year],cOv_Y)/SUMIFS(tblCourses[Enrolled],tblCourses[Branch],$A165,tblCourses[Year],cOv_Y),0)</f>
        <v>0.888111888111888</v>
      </c>
      <c r="H165" s="102">
        <f>AVERAGE(C165,D165,E165)</f>
        <v>0.828258635571146</v>
      </c>
      <c r="I165" s="82">
        <f>H165+ROW()/1000000000</f>
        <v>0.828258800571146</v>
      </c>
    </row>
    <row r="166">
      <c r="A166" s="79" t="str">
        <f>Lists!$A$6</f>
        <v>ME</v>
      </c>
      <c r="B166" s="103">
        <f>COUNTIFS(tblStudents[Branch],$A166,tblStudents[Year],cOv_Y)</f>
        <v>49</v>
      </c>
      <c r="C166" s="102">
        <f>IFERROR(COUNTIFS(tblStudents[Branch],$A166,tblStudents[Year],cOv_Y,tblStudents[Result],"Pass")/B166,0)</f>
        <v>0.816326530612245</v>
      </c>
      <c r="D166" s="102">
        <f>IFERROR(AVERAGEIFS(tblAttendance[Attendance %],tblAttendance[Branch],$A166,tblAttendance[Year],cOv_Y),0)</f>
        <v>0.801402433504551</v>
      </c>
      <c r="E166" s="102">
        <f>IFERROR(COUNTIFS(tblPlacements[Branch],$A166,tblPlacements[Year],cOv_Y,tblPlacements[Status],"Placed")/COUNTIFS(tblPlacements[Branch],$A166,tblPlacements[Year],cOv_Y),0)</f>
        <v>0.681818181818182</v>
      </c>
      <c r="F166" s="102">
        <f>IFERROR(AVERAGEIFS(tblFaculty[Performance Score],tblFaculty[Department],$A166,tblFaculty[Year],cOv_Y)/100,0)</f>
        <v>0.831333333333333</v>
      </c>
      <c r="G166" s="102">
        <f>IFERROR(SUMIFS(tblCourses[Passed],tblCourses[Branch],$A166,tblCourses[Year],cOv_Y)/SUMIFS(tblCourses[Enrolled],tblCourses[Branch],$A166,tblCourses[Year],cOv_Y),0)</f>
        <v>0.897689768976898</v>
      </c>
      <c r="H166" s="102">
        <f>AVERAGE(C166,D166,E166)</f>
        <v>0.766515715311659</v>
      </c>
      <c r="I166" s="82">
        <f>H166+ROW()/1000000000</f>
        <v>0.766515881311659</v>
      </c>
    </row>
    <row r="167">
      <c r="A167" s="79" t="str">
        <f>Lists!$A$7</f>
        <v>CE</v>
      </c>
      <c r="B167" s="103">
        <f>COUNTIFS(tblStudents[Branch],$A167,tblStudents[Year],cOv_Y)</f>
        <v>37</v>
      </c>
      <c r="C167" s="102">
        <f>IFERROR(COUNTIFS(tblStudents[Branch],$A167,tblStudents[Year],cOv_Y,tblStudents[Result],"Pass")/B167,0)</f>
        <v>0.918918918918919</v>
      </c>
      <c r="D167" s="102">
        <f>IFERROR(AVERAGEIFS(tblAttendance[Attendance %],tblAttendance[Branch],$A167,tblAttendance[Year],cOv_Y),0)</f>
        <v>0.828719587942786</v>
      </c>
      <c r="E167" s="102">
        <f>IFERROR(COUNTIFS(tblPlacements[Branch],$A167,tblPlacements[Year],cOv_Y,tblPlacements[Status],"Placed")/COUNTIFS(tblPlacements[Branch],$A167,tblPlacements[Year],cOv_Y),0)</f>
        <v>0.555555555555556</v>
      </c>
      <c r="F167" s="102">
        <f>IFERROR(AVERAGEIFS(tblFaculty[Performance Score],tblFaculty[Department],$A167,tblFaculty[Year],cOv_Y)/100,0)</f>
        <v>0.767666666666667</v>
      </c>
      <c r="G167" s="102">
        <f>IFERROR(SUMIFS(tblCourses[Passed],tblCourses[Branch],$A167,tblCourses[Year],cOv_Y)/SUMIFS(tblCourses[Enrolled],tblCourses[Branch],$A167,tblCourses[Year],cOv_Y),0)</f>
        <v>0.860215053763441</v>
      </c>
      <c r="H167" s="102">
        <f>AVERAGE(C167,D167,E167)</f>
        <v>0.767731354139087</v>
      </c>
      <c r="I167" s="82">
        <f>H167+ROW()/1000000000</f>
        <v>0.767731521139087</v>
      </c>
    </row>
    <row r="168">
      <c r="A168" s="79" t="str">
        <f>Lists!$A$8</f>
        <v>IT</v>
      </c>
      <c r="B168" s="103">
        <f>COUNTIFS(tblStudents[Branch],$A168,tblStudents[Year],cOv_Y)</f>
        <v>38</v>
      </c>
      <c r="C168" s="102">
        <f>IFERROR(COUNTIFS(tblStudents[Branch],$A168,tblStudents[Year],cOv_Y,tblStudents[Result],"Pass")/B168,0)</f>
        <v>0.921052631578947</v>
      </c>
      <c r="D168" s="102">
        <f>IFERROR(AVERAGEIFS(tblAttendance[Attendance %],tblAttendance[Branch],$A168,tblAttendance[Year],cOv_Y),0)</f>
        <v>0.842114652838763</v>
      </c>
      <c r="E168" s="102">
        <f>IFERROR(COUNTIFS(tblPlacements[Branch],$A168,tblPlacements[Year],cOv_Y,tblPlacements[Status],"Placed")/COUNTIFS(tblPlacements[Branch],$A168,tblPlacements[Year],cOv_Y),0)</f>
        <v>0.870967741935484</v>
      </c>
      <c r="F168" s="102">
        <f>IFERROR(AVERAGEIFS(tblFaculty[Performance Score],tblFaculty[Department],$A168,tblFaculty[Year],cOv_Y)/100,0)</f>
        <v>0.772</v>
      </c>
      <c r="G168" s="102">
        <f>IFERROR(SUMIFS(tblCourses[Passed],tblCourses[Branch],$A168,tblCourses[Year],cOv_Y)/SUMIFS(tblCourses[Enrolled],tblCourses[Branch],$A168,tblCourses[Year],cOv_Y),0)</f>
        <v>0.898876404494382</v>
      </c>
      <c r="H168" s="102">
        <f>AVERAGE(C168,D168,E168)</f>
        <v>0.878045008784398</v>
      </c>
      <c r="I168" s="82">
        <f>H168+ROW()/1000000000</f>
        <v>0.878045176784398</v>
      </c>
    </row>
    <row r="171">
      <c r="A171" s="99" t="inlineStr">
        <is>
          <t>Overview - trend by Year (Branch filter)</t>
        </is>
      </c>
    </row>
    <row r="172">
      <c r="A172" s="100" t="inlineStr">
        <is>
          <t>Year</t>
        </is>
      </c>
      <c r="B172" s="100" t="inlineStr">
        <is>
          <t>Pass Rate</t>
        </is>
      </c>
      <c r="C172" s="100" t="inlineStr">
        <is>
          <t>Attendance</t>
        </is>
      </c>
      <c r="D172" s="100" t="inlineStr">
        <is>
          <t>Placement Rate</t>
        </is>
      </c>
    </row>
    <row r="173">
      <c r="A173" s="103">
        <f>Lists!$G$5</f>
        <v>2023</v>
      </c>
      <c r="B173" s="102">
        <f>IFERROR(COUNTIFS(tblStudents[Year],$A173,tblStudents[Branch],cOv_B,tblStudents[Result],"Pass")/COUNTIFS(tblStudents[Year],$A173,tblStudents[Branch],cOv_B),0)</f>
        <v>0.885245901639344</v>
      </c>
      <c r="C173" s="102">
        <f>IFERROR(AVERAGEIFS(tblAttendance[Attendance %],tblAttendance[Year],$A173,tblAttendance[Branch],cOv_B),0)</f>
        <v>0.828121770352345</v>
      </c>
      <c r="D173" s="102">
        <f>IFERROR(COUNTIFS(tblPlacements[Year],$A173,tblPlacements[Branch],cOv_B,tblPlacements[Status],"Placed")/COUNTIFS(tblPlacements[Year],$A173,tblPlacements[Branch],cOv_B),0)</f>
        <v>0.730769230769231</v>
      </c>
    </row>
    <row r="174">
      <c r="A174" s="103">
        <f>Lists!$G$6</f>
        <v>2024</v>
      </c>
      <c r="B174" s="102">
        <f>IFERROR(COUNTIFS(tblStudents[Year],$A174,tblStudents[Branch],cOv_B,tblStudents[Result],"Pass")/COUNTIFS(tblStudents[Year],$A174,tblStudents[Branch],cOv_B),0)</f>
        <v>0.940298507462687</v>
      </c>
      <c r="C174" s="102">
        <f>IFERROR(AVERAGEIFS(tblAttendance[Attendance %],tblAttendance[Year],$A174,tblAttendance[Branch],cOv_B),0)</f>
        <v>0.861016024210268</v>
      </c>
      <c r="D174" s="102">
        <f>IFERROR(COUNTIFS(tblPlacements[Year],$A174,tblPlacements[Branch],cOv_B,tblPlacements[Status],"Placed")/COUNTIFS(tblPlacements[Year],$A174,tblPlacements[Branch],cOv_B),0)</f>
        <v>0.805555555555556</v>
      </c>
    </row>
    <row r="175">
      <c r="A175" s="103">
        <f>Lists!$G$7</f>
        <v>2025</v>
      </c>
      <c r="B175" s="102">
        <f>IFERROR(COUNTIFS(tblStudents[Year],$A175,tblStudents[Branch],cOv_B,tblStudents[Result],"Pass")/COUNTIFS(tblStudents[Year],$A175,tblStudents[Branch],cOv_B),0)</f>
        <v>0.892857142857143</v>
      </c>
      <c r="C175" s="102">
        <f>IFERROR(AVERAGEIFS(tblAttendance[Attendance %],tblAttendance[Year],$A175,tblAttendance[Branch],cOv_B),0)</f>
        <v>0.831490249970057</v>
      </c>
      <c r="D175" s="102">
        <f>IFERROR(COUNTIFS(tblPlacements[Year],$A175,tblPlacements[Branch],cOv_B,tblPlacements[Status],"Placed")/COUNTIFS(tblPlacements[Year],$A175,tblPlacements[Branch],cOv_B),0)</f>
        <v>0.72</v>
      </c>
    </row>
    <row r="176">
      <c r="A176" s="103">
        <f>Lists!$G$8</f>
        <v>2026</v>
      </c>
      <c r="B176" s="102">
        <f>IFERROR(COUNTIFS(tblStudents[Year],$A176,tblStudents[Branch],cOv_B,tblStudents[Result],"Pass")/COUNTIFS(tblStudents[Year],$A176,tblStudents[Branch],cOv_B),0)</f>
        <v>0.839285714285714</v>
      </c>
      <c r="C176" s="102">
        <f>IFERROR(AVERAGEIFS(tblAttendance[Attendance %],tblAttendance[Year],$A176,tblAttendance[Branch],cOv_B),0)</f>
        <v>0.812804956420759</v>
      </c>
      <c r="D176" s="102">
        <f>IFERROR(COUNTIFS(tblPlacements[Year],$A176,tblPlacements[Branch],cOv_B,tblPlacements[Status],"Placed")/COUNTIFS(tblPlacements[Year],$A176,tblPlacements[Branch],cOv_B),0)</f>
        <v>0.789473684210526</v>
      </c>
    </row>
  </sheetData>
  <hyperlinks>
    <hyperlink ref="A2" location="'Overview'!A1" display="« Back to Overview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2026-10-02T06:03:15Z</dcterms:created>
  <dcterms:modified xmlns:dcterms="http://purl.org/dc/terms/" xmlns:xsi="http://www.w3.org/2001/XMLSchema-instance" xsi:type="dcterms:W3CDTF">2026-10-02T06:03:16Z</dcterms:modified>
</cp:coreProperties>
</file>